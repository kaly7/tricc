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Jozso\2026\NUKA\3088_3089\3088_3089 Konténer\"/>
    </mc:Choice>
  </mc:AlternateContent>
  <xr:revisionPtr revIDLastSave="0" documentId="13_ncr:1_{5DBD9112-18CD-49B7-AF80-1D3204DF0BB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Munka1" sheetId="1" r:id="rId1"/>
    <sheet name="Munka2" sheetId="2" r:id="rId2"/>
    <sheet name="Munk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4" i="3" l="1"/>
  <c r="K50" i="3"/>
  <c r="K45" i="3"/>
  <c r="K40" i="3"/>
  <c r="K37" i="3"/>
  <c r="K32" i="3"/>
  <c r="K33" i="3"/>
  <c r="K29" i="3"/>
  <c r="K27" i="3"/>
  <c r="K25" i="3"/>
  <c r="K23" i="3"/>
  <c r="K21" i="3"/>
  <c r="K19" i="3"/>
  <c r="K17" i="3"/>
  <c r="K14" i="3"/>
  <c r="K12" i="3"/>
  <c r="K9" i="3"/>
  <c r="I8" i="3"/>
  <c r="I34" i="3"/>
  <c r="I35" i="3"/>
  <c r="I36" i="3"/>
  <c r="I38" i="3"/>
  <c r="I39" i="3"/>
  <c r="I41" i="3"/>
  <c r="I42" i="3"/>
  <c r="I43" i="3"/>
  <c r="I44" i="3"/>
  <c r="I46" i="3"/>
  <c r="I47" i="3"/>
  <c r="I48" i="3"/>
  <c r="I49" i="3"/>
  <c r="I51" i="3"/>
  <c r="I52" i="3"/>
  <c r="I53" i="3"/>
  <c r="I33" i="3"/>
  <c r="I31" i="3"/>
  <c r="I20" i="3"/>
  <c r="I22" i="3"/>
  <c r="I24" i="3"/>
  <c r="I26" i="3"/>
  <c r="I28" i="3"/>
  <c r="I30" i="3"/>
  <c r="I18" i="3"/>
  <c r="I15" i="3"/>
  <c r="I10" i="3"/>
  <c r="I11" i="3"/>
  <c r="I13" i="3"/>
  <c r="K34" i="3"/>
  <c r="K35" i="3"/>
  <c r="K36" i="3"/>
  <c r="K38" i="3"/>
  <c r="K39" i="3"/>
  <c r="K41" i="3"/>
  <c r="K42" i="3"/>
  <c r="K43" i="3"/>
  <c r="K44" i="3"/>
  <c r="K46" i="3"/>
  <c r="K47" i="3"/>
  <c r="K48" i="3"/>
  <c r="K49" i="3"/>
  <c r="K51" i="3"/>
  <c r="K52" i="3"/>
  <c r="K53" i="3"/>
  <c r="K31" i="3"/>
  <c r="K20" i="3"/>
  <c r="K22" i="3"/>
  <c r="K24" i="3"/>
  <c r="K26" i="3"/>
  <c r="K28" i="3"/>
  <c r="K30" i="3"/>
  <c r="K18" i="3"/>
  <c r="K15" i="3"/>
  <c r="K10" i="3"/>
  <c r="K11" i="3"/>
  <c r="K13" i="3"/>
  <c r="K8" i="3"/>
  <c r="I43" i="2"/>
  <c r="I42" i="2"/>
  <c r="I41" i="2"/>
  <c r="K40" i="2"/>
  <c r="I40" i="2"/>
  <c r="M37" i="1"/>
  <c r="L37" i="1"/>
  <c r="M36" i="1"/>
  <c r="L36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4" i="1"/>
  <c r="L5" i="1"/>
  <c r="L6" i="1"/>
  <c r="L7" i="1"/>
  <c r="L8" i="1"/>
  <c r="L9" i="1"/>
  <c r="L10" i="1"/>
  <c r="L3" i="1"/>
  <c r="K55" i="3" l="1"/>
  <c r="I55" i="3"/>
  <c r="L40" i="1"/>
  <c r="M40" i="1"/>
  <c r="I56" i="3" l="1"/>
  <c r="I57" i="3" s="1"/>
  <c r="I58" i="3" s="1"/>
  <c r="L42" i="1"/>
</calcChain>
</file>

<file path=xl/sharedStrings.xml><?xml version="1.0" encoding="utf-8"?>
<sst xmlns="http://schemas.openxmlformats.org/spreadsheetml/2006/main" count="429" uniqueCount="207">
  <si>
    <t>Sorsz.</t>
  </si>
  <si>
    <t>Beépítésihely,
szerelésiegység</t>
  </si>
  <si>
    <t>Tervjel, tétel
megnevezés</t>
  </si>
  <si>
    <t>Megnevezés</t>
  </si>
  <si>
    <t>Gyártó</t>
  </si>
  <si>
    <t>Típus</t>
  </si>
  <si>
    <t>Rendelésiszám</t>
  </si>
  <si>
    <t>Menny</t>
  </si>
  <si>
    <t>Egys</t>
  </si>
  <si>
    <t>73MC115</t>
  </si>
  <si>
    <t>Rackszekrény - 6U 19" failkivtei l (370x600x395mm,
edzetfüstüveg atój , világos szürke)</t>
  </si>
  <si>
    <t>KELIEN</t>
  </si>
  <si>
    <t> RBA-AS      </t>
  </si>
  <si>
    <t>db</t>
  </si>
  <si>
    <t>NTKOSAET</t>
  </si>
  <si>
    <t>DI-STRIP Compact</t>
  </si>
  <si>
    <t>3.302.006.1</t>
  </si>
  <si>
    <t>EXCEL</t>
  </si>
  <si>
    <t> ExcelPact h panel  </t>
  </si>
  <si>
    <t>3BN-100-460</t>
  </si>
  <si>
    <t>200-472</t>
  </si>
  <si>
    <t> ExcelSC dupel x ot ldó    </t>
  </si>
  <si>
    <t> SC pigat l,i M3O50/125 um            </t>
  </si>
  <si>
    <t> ExcelLC-SC patchkábel  </t>
  </si>
  <si>
    <t xml:space="preserve">73MC115       </t>
  </si>
  <si>
    <t xml:space="preserve">73MC115                        </t>
  </si>
  <si>
    <t xml:space="preserve">73MC115                 </t>
  </si>
  <si>
    <t xml:space="preserve">73MC115        </t>
  </si>
  <si>
    <t xml:space="preserve">73MC115             </t>
  </si>
  <si>
    <t xml:space="preserve">KE-SCD-M-QA  </t>
  </si>
  <si>
    <t xml:space="preserve">PIOM3G-SC-020      </t>
  </si>
  <si>
    <t xml:space="preserve">POM3D-LCSC          </t>
  </si>
  <si>
    <t xml:space="preserve">73MC115 </t>
  </si>
  <si>
    <t xml:space="preserve">LV modul </t>
  </si>
  <si>
    <t xml:space="preserve">KRM1001 </t>
  </si>
  <si>
    <t xml:space="preserve">9. 
10. </t>
  </si>
  <si>
    <t xml:space="preserve">73MC115 
73MC115 </t>
  </si>
  <si>
    <t xml:space="preserve">-X05 
-X01, -X05 </t>
  </si>
  <si>
    <t xml:space="preserve">Feliratozó sáv </t>
  </si>
  <si>
    <t xml:space="preserve">KRF0035 </t>
  </si>
  <si>
    <t>OBO
Bettermann</t>
  </si>
  <si>
    <t xml:space="preserve">Kalapsín, perforált, GTP </t>
  </si>
  <si>
    <t>szál</t>
  </si>
  <si>
    <t xml:space="preserve">WDK 25025 </t>
  </si>
  <si>
    <t xml:space="preserve">Legrand </t>
  </si>
  <si>
    <t xml:space="preserve">DLP </t>
  </si>
  <si>
    <t xml:space="preserve">0 104 27 </t>
  </si>
  <si>
    <t xml:space="preserve">DLP válaszfal 2m-e </t>
  </si>
  <si>
    <t xml:space="preserve">0 105 82 </t>
  </si>
  <si>
    <t xml:space="preserve">0 106 91 </t>
  </si>
  <si>
    <t xml:space="preserve">0 108 01 </t>
  </si>
  <si>
    <t xml:space="preserve">0 107 32 </t>
  </si>
  <si>
    <t xml:space="preserve">DLP belső könyök </t>
  </si>
  <si>
    <t xml:space="preserve">0 106 06 </t>
  </si>
  <si>
    <t xml:space="preserve">DLP külső könyök </t>
  </si>
  <si>
    <t xml:space="preserve">0 106 35 </t>
  </si>
  <si>
    <t xml:space="preserve">DLP végelzáró </t>
  </si>
  <si>
    <t xml:space="preserve">0 107 03 </t>
  </si>
  <si>
    <t xml:space="preserve">Program Mosaic </t>
  </si>
  <si>
    <t xml:space="preserve">0 109 52 </t>
  </si>
  <si>
    <t xml:space="preserve">0 109 34 </t>
  </si>
  <si>
    <t xml:space="preserve">0 774 03 </t>
  </si>
  <si>
    <t xml:space="preserve">0 765 51 </t>
  </si>
  <si>
    <t>m</t>
  </si>
  <si>
    <t xml:space="preserve">Corning </t>
  </si>
  <si>
    <r>
      <t>A-DQ(ZN)2Y 1</t>
    </r>
    <r>
      <rPr>
        <sz val="11"/>
        <color rgb="FF000000"/>
        <rFont val="CIDFont+F4"/>
      </rPr>
      <t xml:space="preserve">×
</t>
    </r>
    <r>
      <rPr>
        <sz val="11"/>
        <color rgb="FF000000"/>
        <rFont val="CIDFont+F1"/>
      </rPr>
      <t>12</t>
    </r>
    <r>
      <rPr>
        <sz val="11"/>
        <color rgb="FF000000"/>
        <rFont val="CIDFont+F4"/>
      </rPr>
      <t>×</t>
    </r>
    <r>
      <rPr>
        <sz val="11"/>
        <color rgb="FF000000"/>
        <rFont val="CIDFont+F1"/>
      </rPr>
      <t>G50/125</t>
    </r>
  </si>
  <si>
    <t xml:space="preserve">Telefon földkábel </t>
  </si>
  <si>
    <t xml:space="preserve">SKB Group </t>
  </si>
  <si>
    <t>F-2YC2Y
10×2×0.6</t>
  </si>
  <si>
    <t xml:space="preserve">UTP falikábel </t>
  </si>
  <si>
    <t xml:space="preserve">Cat 5Ee falikábel </t>
  </si>
  <si>
    <t xml:space="preserve">Univolt </t>
  </si>
  <si>
    <t xml:space="preserve">FXKVR 40 </t>
  </si>
  <si>
    <t xml:space="preserve">73MC114 </t>
  </si>
  <si>
    <t xml:space="preserve">EXCEL </t>
  </si>
  <si>
    <t>Optikai patch panel 1U SM
LC duplex 24 port</t>
  </si>
  <si>
    <t xml:space="preserve">200-472 </t>
  </si>
  <si>
    <t xml:space="preserve">KELINE </t>
  </si>
  <si>
    <t xml:space="preserve">LC pigtail, OM3 50/125 μm </t>
  </si>
  <si>
    <t xml:space="preserve">PIGOM3-LC-020 </t>
  </si>
  <si>
    <t xml:space="preserve">Krone feliratozó sáv </t>
  </si>
  <si>
    <t>LV modul, leválasztható, Krone jellegű</t>
  </si>
  <si>
    <t>OBO Bettermann</t>
  </si>
  <si>
    <t>Kábelcsatorna 25 x 25 x 2000 mm</t>
  </si>
  <si>
    <t>DLP 2 rekeszes kábelcsatorna 150 x50 x 2000</t>
  </si>
  <si>
    <t>DLP takaró elem csatorna síkjában</t>
  </si>
  <si>
    <t>DLP takaró elem 65 mm-es fedélhez</t>
  </si>
  <si>
    <t>DLP T elem 65 mm es fedéllel</t>
  </si>
  <si>
    <t>Rögzítőkeret Program Mosaic szerelvényekhez 2
modul (RJ45)</t>
  </si>
  <si>
    <t>Rögzítőkeret Program Mosaic szerelvényekhez 6
modul (dug.aljzatokhoz)</t>
  </si>
  <si>
    <t>3 x 2P+F csatlakozóaljza</t>
  </si>
  <si>
    <t>Műanyag gégecső Ø50</t>
  </si>
  <si>
    <t>Kültéri optikai kábel 12 szálas</t>
  </si>
  <si>
    <t>Vascső fűnyírás elleni védelem 50 cm</t>
  </si>
  <si>
    <t>Optikai patch panel 1U SM LC duplex 24 port</t>
  </si>
  <si>
    <t>LC pigtail, OM3 50/125 μm</t>
  </si>
  <si>
    <t>3088 - 3089 konténer</t>
  </si>
  <si>
    <t>RBA-06-AS4- CAY-A1</t>
  </si>
  <si>
    <t>Anyagár</t>
  </si>
  <si>
    <t xml:space="preserve"> Hálózatielosztó 6 db azlj atal</t>
  </si>
  <si>
    <t>UTP patch panel
24-es Cat.5e TUP tehermenet sítővel, 1U magas</t>
  </si>
  <si>
    <t>Optika Patch panel 1USMLC duplex24 port</t>
  </si>
  <si>
    <t>SC-SC Duplex toldók, M3O</t>
  </si>
  <si>
    <t>SC pigtail OM3 50/125 um</t>
  </si>
  <si>
    <t>Duplex LC-SC patch kábel OM3 50/125µm</t>
  </si>
  <si>
    <t>Díj egység</t>
  </si>
  <si>
    <t>Anyag összesen</t>
  </si>
  <si>
    <t>Díj összesen</t>
  </si>
  <si>
    <t>Védőcső fektetése földmunka végzéssel</t>
  </si>
  <si>
    <t>Cat. 5e RJ 45 aljzat szerelése méréssel</t>
  </si>
  <si>
    <t>ÜHMP részvétel</t>
  </si>
  <si>
    <t>klt</t>
  </si>
  <si>
    <t>Javított dokumentáció készítése</t>
  </si>
  <si>
    <t>Összesen nettó:</t>
  </si>
  <si>
    <r>
      <t xml:space="preserve">Krone feliratozó sáv </t>
    </r>
    <r>
      <rPr>
        <sz val="11"/>
        <rFont val="CIDFont+F1"/>
      </rPr>
      <t xml:space="preserve">Felirati tábla </t>
    </r>
  </si>
  <si>
    <r>
      <t xml:space="preserve">Optikaipatch panel1USM
</t>
    </r>
    <r>
      <rPr>
        <u/>
        <sz val="11"/>
        <rFont val="Times New Roman"/>
        <family val="1"/>
        <charset val="204"/>
      </rPr>
      <t> LC duplex 24 port </t>
    </r>
  </si>
  <si>
    <t>3088 és 3089 konténerek gyengeáramú betáplálásának ajánlata</t>
  </si>
  <si>
    <t>Mennyiség</t>
  </si>
  <si>
    <t xml:space="preserve"> Anyag egység </t>
  </si>
  <si>
    <t xml:space="preserve"> Díj egység </t>
  </si>
  <si>
    <t xml:space="preserve"> Anyag összes </t>
  </si>
  <si>
    <t xml:space="preserve"> Díj összes </t>
  </si>
  <si>
    <t>3088 és 3089 konténerek gyengeáramú betáplálása a műszaki leírás, és a tervek alapján (meglévő optikai kábeleken szálfelhasználással) patch kábelek cseréjével</t>
  </si>
  <si>
    <t>kézi földmunkavégzés, helyreállítás geodézia bemérés nélkül</t>
  </si>
  <si>
    <t>27 650 Ft</t>
  </si>
  <si>
    <t>UNIVOLT</t>
  </si>
  <si>
    <t>370 FT</t>
  </si>
  <si>
    <t>7 400 Ft</t>
  </si>
  <si>
    <t>24 200 Ft</t>
  </si>
  <si>
    <t>Vascső fűnyírás elleni védelem</t>
  </si>
  <si>
    <t>5 340 Ft</t>
  </si>
  <si>
    <t>2 670 Ft</t>
  </si>
  <si>
    <t>3 100 Ft</t>
  </si>
  <si>
    <t>SKG-GROUP</t>
  </si>
  <si>
    <t>F-2YC2Y 10*2*0,6 kábel építése</t>
  </si>
  <si>
    <t>22 300 Ft</t>
  </si>
  <si>
    <t>15 200 Ft</t>
  </si>
  <si>
    <t>KELINE</t>
  </si>
  <si>
    <t>Rackszekrény - 6U 19" fali kivitel (370x600x395mm,</t>
  </si>
  <si>
    <t>edzetfüstüveg ajtó, világosszürke) felszerelése</t>
  </si>
  <si>
    <t>53 500 Ft</t>
  </si>
  <si>
    <t>EXEL</t>
  </si>
  <si>
    <r>
      <t xml:space="preserve">Optika Patch panel 1U </t>
    </r>
    <r>
      <rPr>
        <sz val="11"/>
        <color rgb="FFFF0000"/>
        <rFont val="Times New Roman"/>
        <family val="1"/>
        <charset val="238"/>
      </rPr>
      <t>MM</t>
    </r>
    <r>
      <rPr>
        <sz val="11"/>
        <color rgb="FF000000"/>
        <rFont val="Times New Roman"/>
        <family val="1"/>
        <charset val="238"/>
      </rPr>
      <t xml:space="preserve"> LC 4duplex toldóval szerelt 24 port</t>
    </r>
  </si>
  <si>
    <t>27 880 Ft</t>
  </si>
  <si>
    <t>55 760 Ft</t>
  </si>
  <si>
    <t xml:space="preserve">33 760 Ft </t>
  </si>
  <si>
    <t>Optikai rendező ki-visszaszerelése</t>
  </si>
  <si>
    <t>Ft</t>
  </si>
  <si>
    <t>12 410 Ft</t>
  </si>
  <si>
    <t>Corning</t>
  </si>
  <si>
    <t>A-DQ (ZN) 2Y 1×12×G50/125 behúzása</t>
  </si>
  <si>
    <t>1 500 FT</t>
  </si>
  <si>
    <t>17 000 Ft</t>
  </si>
  <si>
    <t>30 000 Ft</t>
  </si>
  <si>
    <r>
      <t xml:space="preserve">Optikai szálhegesztés 50/125 OM3 pig-tail kábellel </t>
    </r>
    <r>
      <rPr>
        <sz val="12"/>
        <color rgb="FFFF0000"/>
        <rFont val="Times New Roman"/>
        <family val="1"/>
        <charset val="238"/>
      </rPr>
      <t xml:space="preserve">kötő tálca és szálzsugor tartóval </t>
    </r>
  </si>
  <si>
    <t>43 600 Ft</t>
  </si>
  <si>
    <t>Optikai kapcsolat és szálazonosítása kialakított rendezőkön</t>
  </si>
  <si>
    <t>2 140 Ft</t>
  </si>
  <si>
    <t>Optikai szál kétirányú beiktatásos csill. mérése</t>
  </si>
  <si>
    <t>1 000 Ft</t>
  </si>
  <si>
    <t>4 400 Ft</t>
  </si>
  <si>
    <t>LC-SC patch kábel OM3 50/125µm</t>
  </si>
  <si>
    <t>5 700 Ft</t>
  </si>
  <si>
    <t>2 300 Ft</t>
  </si>
  <si>
    <t>4 600   Ft</t>
  </si>
  <si>
    <t>Excel</t>
  </si>
  <si>
    <t>Patch panel</t>
  </si>
  <si>
    <t>24-es Cat.5e TUP tehermente sítővel, 1U magas</t>
  </si>
  <si>
    <t>20 950 Ft</t>
  </si>
  <si>
    <t>8 335 Ft</t>
  </si>
  <si>
    <t>OBO</t>
  </si>
  <si>
    <t>3 200 Ft</t>
  </si>
  <si>
    <t>6 400 Ft</t>
  </si>
  <si>
    <t>Legrand</t>
  </si>
  <si>
    <t>DLP 2 rekeszes kábelcsatorna 150 x50 x 2000 válaszfallal, fedéllel, idomokkal</t>
  </si>
  <si>
    <t>37 430 Ft</t>
  </si>
  <si>
    <t>OBO Bettermann kalapsin beszerelése</t>
  </si>
  <si>
    <t>2 380 Ft</t>
  </si>
  <si>
    <t>KONTASET</t>
  </si>
  <si>
    <t>Hálózati elosztó 6 db aljzattal</t>
  </si>
  <si>
    <t>11 110 Ft</t>
  </si>
  <si>
    <t>4 610 Ft</t>
  </si>
  <si>
    <t>Műanyag gravírozott kábeljelölő tikett 20x85 mm elhelyezése</t>
  </si>
  <si>
    <t>Optikai patchpanel feliratozás</t>
  </si>
  <si>
    <t>2 430 Ft</t>
  </si>
  <si>
    <t>7 300 Ft</t>
  </si>
  <si>
    <t>Érpár kifejtés LV leválasztható, Krone modulra, feliratozó sáv használatával</t>
  </si>
  <si>
    <t xml:space="preserve">Cat 5e falikábel </t>
  </si>
  <si>
    <t>14 000 Ft</t>
  </si>
  <si>
    <t>Cat5e csatlakozó szerelése Mosaic kerettel, szerelvénnyel</t>
  </si>
  <si>
    <t>36 400 Ft</t>
  </si>
  <si>
    <t>24 740 Ft</t>
  </si>
  <si>
    <t>Ftp Cat5 patchkábel 3m-es</t>
  </si>
  <si>
    <t>Egyéb szerelési anyag</t>
  </si>
  <si>
    <t>Informatikai hálózat beüzemelése</t>
  </si>
  <si>
    <t>Informatikai végpont mérése</t>
  </si>
  <si>
    <t xml:space="preserve">              - Ft</t>
  </si>
  <si>
    <t>Project menedzsment</t>
  </si>
  <si>
    <t xml:space="preserve">             - Ft</t>
  </si>
  <si>
    <t>Megvalósulási dokumentációkészítés</t>
  </si>
  <si>
    <t>Összesen nettó</t>
  </si>
  <si>
    <t>27% ÁFA</t>
  </si>
  <si>
    <t>Összesen bruttó</t>
  </si>
  <si>
    <t>Egyéb szerelési feladat elvégzése technikus/ nap</t>
  </si>
  <si>
    <t>Egyéb szerelési feladathoz tartozó optikai szakember munkája mérnök/ nap</t>
  </si>
  <si>
    <t>Optikai szál beiktatásos csillapítás mérése jegyzőkönyv készítéssel hitelesített mérőműszerrel/ kétirányú</t>
  </si>
  <si>
    <t>Patch panel24-es Cat.5e TUP tehermente sítővel, 1U magas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</si>
</sst>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Ft&quot;;[Red]\-#,##0\ &quot;Ft&quot;"/>
    <numFmt numFmtId="164" formatCode="_-* #,##0.00\ _F_t_-;\-* #,##0.00\ _F_t_-;_-* &quot;-&quot;??\ _F_t_-;_-@_-"/>
    <numFmt numFmtId="165" formatCode="0."/>
  </numFmts>
  <fonts count="35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04"/>
    </font>
    <font>
      <sz val="11"/>
      <color indexed="8"/>
      <name val="Arial"/>
      <family val="2"/>
    </font>
    <font>
      <b/>
      <sz val="11"/>
      <color indexed="8"/>
      <name val="Times New Roman"/>
      <family val="2"/>
    </font>
    <font>
      <b/>
      <sz val="11"/>
      <color indexed="8"/>
      <name val="Times New Roman"/>
      <family val="1"/>
      <charset val="204"/>
    </font>
    <font>
      <sz val="14"/>
      <color indexed="8"/>
      <name val="Times New Roman"/>
      <family val="2"/>
    </font>
    <font>
      <sz val="11"/>
      <color indexed="8"/>
      <name val="Times New Roman"/>
      <family val="2"/>
    </font>
    <font>
      <sz val="11"/>
      <color rgb="FF000000"/>
      <name val="CIDFont+F1"/>
    </font>
    <font>
      <sz val="11"/>
      <color rgb="FF000000"/>
      <name val="CIDFont+F3"/>
    </font>
    <font>
      <sz val="11"/>
      <color rgb="FF000000"/>
      <name val="CIDFont+F4"/>
    </font>
    <font>
      <sz val="10"/>
      <color rgb="FF0000FF"/>
      <name val="CIDFont+F1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IDFont+F1"/>
    </font>
    <font>
      <b/>
      <sz val="12"/>
      <color theme="1"/>
      <name val="Times New Roman"/>
      <family val="1"/>
      <charset val="238"/>
    </font>
    <font>
      <sz val="11"/>
      <name val="Times New Roman"/>
      <family val="1"/>
      <charset val="204"/>
    </font>
    <font>
      <sz val="11"/>
      <name val="Times New Roman"/>
      <family val="2"/>
    </font>
    <font>
      <sz val="11"/>
      <name val="CIDFont+F1"/>
    </font>
    <font>
      <sz val="11"/>
      <name val="CIDFont+F3"/>
    </font>
    <font>
      <sz val="12"/>
      <name val="Times New Roman"/>
      <family val="1"/>
      <charset val="238"/>
    </font>
    <font>
      <sz val="10"/>
      <name val="CIDFont+F1"/>
    </font>
    <font>
      <u/>
      <sz val="11"/>
      <name val="Times New Roman"/>
      <family val="2"/>
    </font>
    <font>
      <u/>
      <sz val="11"/>
      <name val="Times New Roman"/>
      <family val="1"/>
      <charset val="204"/>
    </font>
    <font>
      <sz val="10"/>
      <color theme="1"/>
      <name val="Times New Roman"/>
      <family val="1"/>
      <charset val="238"/>
    </font>
    <font>
      <sz val="12"/>
      <color theme="1"/>
      <name val="Times New Roman"/>
      <family val="1"/>
      <charset val="238"/>
    </font>
    <font>
      <b/>
      <sz val="12"/>
      <color rgb="FF000000"/>
      <name val="Times New Roman"/>
      <family val="1"/>
      <charset val="238"/>
    </font>
    <font>
      <sz val="11"/>
      <color rgb="FF000000"/>
      <name val="Times New Roman"/>
      <family val="1"/>
      <charset val="238"/>
    </font>
    <font>
      <sz val="8"/>
      <color theme="1"/>
      <name val="Arial"/>
      <family val="2"/>
      <charset val="238"/>
    </font>
    <font>
      <sz val="11"/>
      <color rgb="FFFF0000"/>
      <name val="Times New Roman"/>
      <family val="1"/>
      <charset val="238"/>
    </font>
    <font>
      <sz val="12"/>
      <color rgb="FF000000"/>
      <name val="Times New Roman"/>
      <family val="1"/>
      <charset val="238"/>
    </font>
    <font>
      <sz val="12"/>
      <color rgb="FFFF0000"/>
      <name val="Times New Roman"/>
      <family val="1"/>
      <charset val="238"/>
    </font>
    <font>
      <b/>
      <sz val="10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b/>
      <sz val="11"/>
      <color rgb="FF000000"/>
      <name val="Times New Roman"/>
      <family val="1"/>
      <charset val="238"/>
    </font>
    <font>
      <sz val="11"/>
      <color theme="1"/>
      <name val="Times New Roman"/>
      <family val="1"/>
      <charset val="238"/>
    </font>
  </fonts>
  <fills count="6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164" fontId="11" fillId="0" borderId="0" applyFont="0" applyFill="0" applyBorder="0" applyAlignment="0" applyProtection="0"/>
  </cellStyleXfs>
  <cellXfs count="288">
    <xf numFmtId="0" fontId="0" fillId="0" borderId="0" xfId="0"/>
    <xf numFmtId="0" fontId="0" fillId="0" borderId="0" xfId="0" applyAlignment="1">
      <alignment horizontal="center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 indent="2"/>
    </xf>
    <xf numFmtId="0" fontId="4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 indent="3"/>
    </xf>
    <xf numFmtId="0" fontId="3" fillId="2" borderId="1" xfId="0" applyFont="1" applyFill="1" applyBorder="1" applyAlignment="1">
      <alignment horizontal="left" vertical="top" wrapText="1" indent="1"/>
    </xf>
    <xf numFmtId="165" fontId="2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164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0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4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Font="1" applyBorder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14" fillId="0" borderId="0" xfId="0" applyFont="1"/>
    <xf numFmtId="0" fontId="15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wrapText="1"/>
    </xf>
    <xf numFmtId="0" fontId="19" fillId="0" borderId="1" xfId="0" applyFont="1" applyBorder="1"/>
    <xf numFmtId="0" fontId="20" fillId="0" borderId="1" xfId="0" applyFont="1" applyBorder="1" applyAlignment="1">
      <alignment wrapText="1"/>
    </xf>
    <xf numFmtId="0" fontId="21" fillId="0" borderId="1" xfId="0" applyFont="1" applyBorder="1" applyAlignment="1">
      <alignment horizontal="left" vertical="top" wrapText="1"/>
    </xf>
    <xf numFmtId="164" fontId="0" fillId="0" borderId="1" xfId="0" applyNumberForma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0" fontId="0" fillId="0" borderId="0" xfId="0" applyNumberFormat="1"/>
    <xf numFmtId="0" fontId="25" fillId="4" borderId="6" xfId="0" applyFont="1" applyFill="1" applyBorder="1" applyAlignment="1">
      <alignment horizontal="right" vertical="center"/>
    </xf>
    <xf numFmtId="0" fontId="25" fillId="4" borderId="7" xfId="0" applyFont="1" applyFill="1" applyBorder="1" applyAlignment="1">
      <alignment vertical="center"/>
    </xf>
    <xf numFmtId="0" fontId="25" fillId="4" borderId="7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right" vertical="center"/>
    </xf>
    <xf numFmtId="0" fontId="24" fillId="0" borderId="7" xfId="0" applyFont="1" applyBorder="1" applyAlignment="1">
      <alignment vertical="center"/>
    </xf>
    <xf numFmtId="0" fontId="23" fillId="0" borderId="7" xfId="0" applyFont="1" applyBorder="1" applyAlignment="1">
      <alignment vertical="center" wrapText="1"/>
    </xf>
    <xf numFmtId="6" fontId="27" fillId="0" borderId="7" xfId="0" applyNumberFormat="1" applyFont="1" applyBorder="1" applyAlignment="1">
      <alignment horizontal="center" vertical="center" wrapText="1"/>
    </xf>
    <xf numFmtId="6" fontId="27" fillId="0" borderId="7" xfId="0" applyNumberFormat="1" applyFont="1" applyBorder="1" applyAlignment="1">
      <alignment horizontal="center" vertical="center"/>
    </xf>
    <xf numFmtId="0" fontId="24" fillId="0" borderId="7" xfId="0" applyFont="1" applyBorder="1" applyAlignment="1">
      <alignment horizontal="right" vertical="center"/>
    </xf>
    <xf numFmtId="0" fontId="14" fillId="0" borderId="7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/>
    </xf>
    <xf numFmtId="6" fontId="24" fillId="0" borderId="7" xfId="0" applyNumberFormat="1" applyFont="1" applyBorder="1" applyAlignment="1">
      <alignment horizontal="right" vertical="center"/>
    </xf>
    <xf numFmtId="0" fontId="24" fillId="0" borderId="8" xfId="0" applyFont="1" applyBorder="1" applyAlignment="1">
      <alignment horizontal="right" vertical="center"/>
    </xf>
    <xf numFmtId="0" fontId="24" fillId="0" borderId="9" xfId="0" applyFont="1" applyBorder="1" applyAlignment="1">
      <alignment vertical="center"/>
    </xf>
    <xf numFmtId="0" fontId="14" fillId="0" borderId="9" xfId="0" applyFont="1" applyBorder="1" applyAlignment="1">
      <alignment horizontal="center" vertical="center" wrapText="1"/>
    </xf>
    <xf numFmtId="6" fontId="27" fillId="0" borderId="9" xfId="0" applyNumberFormat="1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6" fontId="24" fillId="0" borderId="9" xfId="0" applyNumberFormat="1" applyFont="1" applyBorder="1" applyAlignment="1">
      <alignment horizontal="right" vertical="center"/>
    </xf>
    <xf numFmtId="0" fontId="24" fillId="0" borderId="11" xfId="0" applyFont="1" applyBorder="1" applyAlignment="1">
      <alignment horizontal="right" vertical="center"/>
    </xf>
    <xf numFmtId="0" fontId="24" fillId="0" borderId="12" xfId="0" applyFont="1" applyBorder="1" applyAlignment="1">
      <alignment vertical="center"/>
    </xf>
    <xf numFmtId="0" fontId="14" fillId="0" borderId="12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/>
    </xf>
    <xf numFmtId="6" fontId="24" fillId="0" borderId="12" xfId="0" applyNumberFormat="1" applyFont="1" applyBorder="1" applyAlignment="1">
      <alignment horizontal="right" vertical="center"/>
    </xf>
    <xf numFmtId="0" fontId="24" fillId="0" borderId="12" xfId="0" applyFont="1" applyBorder="1" applyAlignment="1">
      <alignment horizontal="right" vertical="center"/>
    </xf>
    <xf numFmtId="6" fontId="27" fillId="0" borderId="12" xfId="0" applyNumberFormat="1" applyFont="1" applyBorder="1" applyAlignment="1">
      <alignment horizontal="center" vertical="center"/>
    </xf>
    <xf numFmtId="0" fontId="23" fillId="0" borderId="12" xfId="0" applyFont="1" applyBorder="1" applyAlignment="1">
      <alignment vertical="center" wrapText="1"/>
    </xf>
    <xf numFmtId="0" fontId="31" fillId="0" borderId="12" xfId="0" applyFont="1" applyBorder="1" applyAlignment="1">
      <alignment horizontal="center" vertical="center" wrapText="1"/>
    </xf>
    <xf numFmtId="6" fontId="27" fillId="0" borderId="12" xfId="0" applyNumberFormat="1" applyFont="1" applyBorder="1" applyAlignment="1">
      <alignment horizontal="center" vertical="center" wrapText="1"/>
    </xf>
    <xf numFmtId="3" fontId="27" fillId="0" borderId="7" xfId="0" applyNumberFormat="1" applyFont="1" applyBorder="1" applyAlignment="1">
      <alignment horizontal="center" vertical="center"/>
    </xf>
    <xf numFmtId="3" fontId="27" fillId="0" borderId="9" xfId="0" applyNumberFormat="1" applyFont="1" applyBorder="1" applyAlignment="1">
      <alignment horizontal="center" vertical="center"/>
    </xf>
    <xf numFmtId="3" fontId="27" fillId="0" borderId="12" xfId="0" applyNumberFormat="1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6" fontId="14" fillId="0" borderId="9" xfId="0" applyNumberFormat="1" applyFont="1" applyBorder="1" applyAlignment="1">
      <alignment vertical="center"/>
    </xf>
    <xf numFmtId="0" fontId="14" fillId="0" borderId="11" xfId="0" applyFont="1" applyBorder="1" applyAlignment="1">
      <alignment horizontal="right" vertical="center"/>
    </xf>
    <xf numFmtId="0" fontId="14" fillId="0" borderId="12" xfId="0" applyFont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6" fontId="24" fillId="0" borderId="26" xfId="0" applyNumberFormat="1" applyFont="1" applyBorder="1" applyAlignment="1">
      <alignment horizontal="right" vertical="center"/>
    </xf>
    <xf numFmtId="0" fontId="24" fillId="0" borderId="27" xfId="0" applyFont="1" applyBorder="1" applyAlignment="1">
      <alignment horizontal="right" vertical="center"/>
    </xf>
    <xf numFmtId="6" fontId="27" fillId="0" borderId="37" xfId="0" applyNumberFormat="1" applyFont="1" applyBorder="1" applyAlignment="1">
      <alignment horizontal="center" vertical="center"/>
    </xf>
    <xf numFmtId="6" fontId="24" fillId="0" borderId="38" xfId="0" applyNumberFormat="1" applyFont="1" applyBorder="1" applyAlignment="1">
      <alignment horizontal="center" vertical="center"/>
    </xf>
    <xf numFmtId="6" fontId="24" fillId="0" borderId="7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wrapText="1"/>
    </xf>
    <xf numFmtId="0" fontId="17" fillId="5" borderId="1" xfId="0" applyFont="1" applyFill="1" applyBorder="1" applyAlignment="1">
      <alignment wrapText="1"/>
    </xf>
    <xf numFmtId="0" fontId="7" fillId="5" borderId="1" xfId="0" applyFont="1" applyFill="1" applyBorder="1" applyAlignment="1">
      <alignment horizontal="left" wrapText="1"/>
    </xf>
    <xf numFmtId="0" fontId="7" fillId="5" borderId="1" xfId="0" applyFont="1" applyFill="1" applyBorder="1" applyAlignment="1">
      <alignment horizontal="center" vertical="center" wrapText="1"/>
    </xf>
    <xf numFmtId="164" fontId="0" fillId="5" borderId="1" xfId="1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0" xfId="0" applyNumberFormat="1" applyFill="1"/>
    <xf numFmtId="0" fontId="0" fillId="5" borderId="0" xfId="0" applyFill="1"/>
    <xf numFmtId="0" fontId="0" fillId="5" borderId="1" xfId="0" applyFill="1" applyBorder="1"/>
    <xf numFmtId="0" fontId="18" fillId="5" borderId="1" xfId="0" applyFont="1" applyFill="1" applyBorder="1" applyAlignment="1">
      <alignment wrapText="1"/>
    </xf>
    <xf numFmtId="0" fontId="8" fillId="5" borderId="1" xfId="0" applyFont="1" applyFill="1" applyBorder="1" applyAlignment="1">
      <alignment wrapText="1"/>
    </xf>
    <xf numFmtId="0" fontId="25" fillId="4" borderId="5" xfId="0" applyFont="1" applyFill="1" applyBorder="1" applyAlignment="1">
      <alignment vertical="center"/>
    </xf>
    <xf numFmtId="0" fontId="25" fillId="4" borderId="39" xfId="0" applyFont="1" applyFill="1" applyBorder="1" applyAlignment="1">
      <alignment vertical="center" wrapText="1"/>
    </xf>
    <xf numFmtId="0" fontId="25" fillId="4" borderId="39" xfId="0" applyFont="1" applyFill="1" applyBorder="1" applyAlignment="1">
      <alignment horizontal="center" vertical="center" wrapText="1"/>
    </xf>
    <xf numFmtId="0" fontId="24" fillId="0" borderId="40" xfId="0" applyFont="1" applyBorder="1" applyAlignment="1">
      <alignment horizontal="right" vertical="center"/>
    </xf>
    <xf numFmtId="0" fontId="24" fillId="0" borderId="41" xfId="0" applyFont="1" applyBorder="1" applyAlignment="1">
      <alignment vertical="center"/>
    </xf>
    <xf numFmtId="6" fontId="27" fillId="0" borderId="41" xfId="0" applyNumberFormat="1" applyFont="1" applyBorder="1" applyAlignment="1">
      <alignment horizontal="center" vertical="center" wrapText="1"/>
    </xf>
    <xf numFmtId="6" fontId="27" fillId="0" borderId="41" xfId="0" applyNumberFormat="1" applyFont="1" applyBorder="1" applyAlignment="1">
      <alignment horizontal="center" vertical="center"/>
    </xf>
    <xf numFmtId="6" fontId="24" fillId="0" borderId="41" xfId="0" applyNumberFormat="1" applyFont="1" applyBorder="1" applyAlignment="1">
      <alignment horizontal="right" vertical="center"/>
    </xf>
    <xf numFmtId="6" fontId="27" fillId="0" borderId="39" xfId="0" applyNumberFormat="1" applyFont="1" applyBorder="1" applyAlignment="1">
      <alignment horizontal="center" vertical="center" wrapText="1"/>
    </xf>
    <xf numFmtId="0" fontId="0" fillId="0" borderId="39" xfId="0" applyBorder="1" applyAlignment="1">
      <alignment horizontal="right" vertical="center"/>
    </xf>
    <xf numFmtId="6" fontId="33" fillId="0" borderId="0" xfId="0" applyNumberFormat="1" applyFont="1" applyAlignment="1">
      <alignment horizontal="center" vertical="center"/>
    </xf>
    <xf numFmtId="6" fontId="32" fillId="0" borderId="0" xfId="0" applyNumberFormat="1" applyFont="1" applyAlignment="1">
      <alignment horizontal="center" vertical="center"/>
    </xf>
    <xf numFmtId="0" fontId="24" fillId="0" borderId="43" xfId="0" applyFont="1" applyBorder="1" applyAlignment="1">
      <alignment horizontal="right" vertical="center"/>
    </xf>
    <xf numFmtId="0" fontId="24" fillId="0" borderId="36" xfId="0" applyFont="1" applyBorder="1" applyAlignment="1">
      <alignment vertical="center"/>
    </xf>
    <xf numFmtId="6" fontId="27" fillId="0" borderId="36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right" vertical="center"/>
    </xf>
    <xf numFmtId="0" fontId="27" fillId="0" borderId="4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27" fillId="0" borderId="43" xfId="0" applyFont="1" applyBorder="1" applyAlignment="1">
      <alignment horizontal="center" vertical="center"/>
    </xf>
    <xf numFmtId="6" fontId="27" fillId="0" borderId="26" xfId="0" applyNumberFormat="1" applyFont="1" applyBorder="1" applyAlignment="1">
      <alignment horizontal="center" vertical="center"/>
    </xf>
    <xf numFmtId="6" fontId="24" fillId="0" borderId="39" xfId="0" applyNumberFormat="1" applyFont="1" applyBorder="1" applyAlignment="1">
      <alignment horizontal="right" vertical="center"/>
    </xf>
    <xf numFmtId="6" fontId="27" fillId="0" borderId="5" xfId="0" applyNumberFormat="1" applyFont="1" applyBorder="1" applyAlignment="1">
      <alignment horizontal="center" vertical="center"/>
    </xf>
    <xf numFmtId="0" fontId="24" fillId="0" borderId="39" xfId="0" applyFont="1" applyBorder="1" applyAlignment="1">
      <alignment horizontal="right" vertical="center"/>
    </xf>
    <xf numFmtId="0" fontId="24" fillId="0" borderId="39" xfId="0" applyFont="1" applyBorder="1" applyAlignment="1">
      <alignment vertical="center"/>
    </xf>
    <xf numFmtId="0" fontId="14" fillId="0" borderId="39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/>
    </xf>
    <xf numFmtId="0" fontId="0" fillId="0" borderId="39" xfId="0" applyBorder="1"/>
    <xf numFmtId="6" fontId="27" fillId="0" borderId="39" xfId="0" applyNumberFormat="1" applyFont="1" applyBorder="1" applyAlignment="1">
      <alignment horizontal="center" vertical="center"/>
    </xf>
    <xf numFmtId="6" fontId="24" fillId="0" borderId="39" xfId="0" applyNumberFormat="1" applyFont="1" applyBorder="1" applyAlignment="1">
      <alignment horizontal="center" vertical="center"/>
    </xf>
    <xf numFmtId="3" fontId="27" fillId="0" borderId="39" xfId="0" applyNumberFormat="1" applyFont="1" applyBorder="1" applyAlignment="1">
      <alignment horizontal="center" vertical="center"/>
    </xf>
    <xf numFmtId="6" fontId="0" fillId="0" borderId="0" xfId="0" applyNumberFormat="1"/>
    <xf numFmtId="0" fontId="32" fillId="0" borderId="7" xfId="0" applyFont="1" applyBorder="1" applyAlignment="1">
      <alignment horizontal="center" vertical="center" wrapText="1"/>
    </xf>
    <xf numFmtId="0" fontId="34" fillId="0" borderId="7" xfId="0" applyFont="1" applyBorder="1" applyAlignment="1">
      <alignment vertical="center" wrapText="1"/>
    </xf>
    <xf numFmtId="0" fontId="32" fillId="0" borderId="41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36" xfId="0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32" fillId="0" borderId="26" xfId="0" applyFont="1" applyBorder="1" applyAlignment="1">
      <alignment horizontal="center" vertical="center" wrapText="1"/>
    </xf>
    <xf numFmtId="0" fontId="32" fillId="0" borderId="12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0" fontId="34" fillId="0" borderId="12" xfId="0" applyFont="1" applyBorder="1" applyAlignment="1">
      <alignment vertical="center" wrapText="1"/>
    </xf>
    <xf numFmtId="6" fontId="24" fillId="0" borderId="13" xfId="0" applyNumberFormat="1" applyFont="1" applyBorder="1" applyAlignment="1">
      <alignment horizontal="center" vertical="center"/>
    </xf>
    <xf numFmtId="6" fontId="24" fillId="0" borderId="14" xfId="0" applyNumberFormat="1" applyFont="1" applyBorder="1" applyAlignment="1">
      <alignment horizontal="center" vertical="center"/>
    </xf>
    <xf numFmtId="6" fontId="24" fillId="0" borderId="21" xfId="0" applyNumberFormat="1" applyFont="1" applyBorder="1" applyAlignment="1">
      <alignment horizontal="center" vertical="center"/>
    </xf>
    <xf numFmtId="6" fontId="24" fillId="0" borderId="23" xfId="0" applyNumberFormat="1" applyFont="1" applyBorder="1" applyAlignment="1">
      <alignment horizontal="center" vertical="center"/>
    </xf>
    <xf numFmtId="6" fontId="24" fillId="0" borderId="24" xfId="0" applyNumberFormat="1" applyFont="1" applyBorder="1" applyAlignment="1">
      <alignment horizontal="center" vertical="center"/>
    </xf>
    <xf numFmtId="6" fontId="24" fillId="0" borderId="26" xfId="0" applyNumberFormat="1" applyFont="1" applyBorder="1" applyAlignment="1">
      <alignment horizontal="center" vertical="center"/>
    </xf>
    <xf numFmtId="6" fontId="24" fillId="0" borderId="32" xfId="0" applyNumberFormat="1" applyFont="1" applyBorder="1" applyAlignment="1">
      <alignment horizontal="center" vertical="center"/>
    </xf>
    <xf numFmtId="6" fontId="24" fillId="0" borderId="34" xfId="0" applyNumberFormat="1" applyFont="1" applyBorder="1" applyAlignment="1">
      <alignment horizontal="center" vertical="center"/>
    </xf>
    <xf numFmtId="6" fontId="24" fillId="0" borderId="44" xfId="0" applyNumberFormat="1" applyFont="1" applyBorder="1" applyAlignment="1">
      <alignment horizontal="center" vertical="center"/>
    </xf>
    <xf numFmtId="6" fontId="24" fillId="0" borderId="45" xfId="0" applyNumberFormat="1" applyFont="1" applyBorder="1" applyAlignment="1">
      <alignment horizontal="center" vertical="center"/>
    </xf>
    <xf numFmtId="6" fontId="24" fillId="0" borderId="35" xfId="0" applyNumberFormat="1" applyFont="1" applyBorder="1" applyAlignment="1">
      <alignment horizontal="center" vertical="center"/>
    </xf>
    <xf numFmtId="6" fontId="24" fillId="0" borderId="36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vertical="center" wrapText="1"/>
    </xf>
    <xf numFmtId="0" fontId="24" fillId="0" borderId="25" xfId="0" applyFont="1" applyBorder="1" applyAlignment="1">
      <alignment vertical="center" wrapText="1"/>
    </xf>
    <xf numFmtId="0" fontId="24" fillId="0" borderId="26" xfId="0" applyFont="1" applyBorder="1" applyAlignment="1">
      <alignment vertical="center" wrapText="1"/>
    </xf>
    <xf numFmtId="0" fontId="26" fillId="0" borderId="28" xfId="0" applyFont="1" applyBorder="1" applyAlignment="1">
      <alignment vertical="center" wrapText="1"/>
    </xf>
    <xf numFmtId="0" fontId="26" fillId="0" borderId="29" xfId="0" applyFont="1" applyBorder="1" applyAlignment="1">
      <alignment vertical="center" wrapText="1"/>
    </xf>
    <xf numFmtId="0" fontId="26" fillId="0" borderId="30" xfId="0" applyFont="1" applyBorder="1" applyAlignment="1">
      <alignment vertical="center" wrapText="1"/>
    </xf>
    <xf numFmtId="0" fontId="26" fillId="0" borderId="31" xfId="0" applyFont="1" applyBorder="1" applyAlignment="1">
      <alignment vertical="center" wrapText="1"/>
    </xf>
    <xf numFmtId="0" fontId="26" fillId="0" borderId="10" xfId="0" applyFont="1" applyBorder="1" applyAlignment="1">
      <alignment vertical="center" wrapText="1"/>
    </xf>
    <xf numFmtId="0" fontId="26" fillId="0" borderId="12" xfId="0" applyFont="1" applyBorder="1" applyAlignment="1">
      <alignment vertical="center" wrapText="1"/>
    </xf>
    <xf numFmtId="0" fontId="25" fillId="4" borderId="15" xfId="0" applyFont="1" applyFill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6" fillId="0" borderId="15" xfId="0" applyFont="1" applyBorder="1" applyAlignment="1">
      <alignment vertical="center" wrapText="1"/>
    </xf>
    <xf numFmtId="0" fontId="26" fillId="0" borderId="14" xfId="0" applyFont="1" applyBorder="1" applyAlignment="1">
      <alignment vertical="center" wrapText="1"/>
    </xf>
    <xf numFmtId="0" fontId="26" fillId="0" borderId="24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4" fillId="0" borderId="21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24" fillId="0" borderId="23" xfId="0" applyFont="1" applyBorder="1" applyAlignment="1">
      <alignment vertical="center" wrapText="1"/>
    </xf>
    <xf numFmtId="0" fontId="24" fillId="0" borderId="28" xfId="0" applyFont="1" applyBorder="1" applyAlignment="1">
      <alignment vertical="center" wrapText="1"/>
    </xf>
    <xf numFmtId="0" fontId="24" fillId="0" borderId="29" xfId="0" applyFont="1" applyBorder="1" applyAlignment="1">
      <alignment vertical="center" wrapText="1"/>
    </xf>
    <xf numFmtId="0" fontId="24" fillId="0" borderId="30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24" fillId="0" borderId="15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6" fontId="32" fillId="0" borderId="13" xfId="0" applyNumberFormat="1" applyFont="1" applyBorder="1" applyAlignment="1">
      <alignment horizontal="center" vertical="center"/>
    </xf>
    <xf numFmtId="6" fontId="32" fillId="0" borderId="15" xfId="0" applyNumberFormat="1" applyFont="1" applyBorder="1" applyAlignment="1">
      <alignment horizontal="center" vertical="center"/>
    </xf>
    <xf numFmtId="6" fontId="32" fillId="0" borderId="14" xfId="0" applyNumberFormat="1" applyFont="1" applyBorder="1" applyAlignment="1">
      <alignment horizontal="center" vertical="center"/>
    </xf>
    <xf numFmtId="0" fontId="24" fillId="0" borderId="42" xfId="0" applyFont="1" applyBorder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0" fontId="24" fillId="0" borderId="9" xfId="0" applyFont="1" applyBorder="1" applyAlignment="1">
      <alignment vertical="center" wrapText="1"/>
    </xf>
    <xf numFmtId="6" fontId="32" fillId="0" borderId="35" xfId="0" applyNumberFormat="1" applyFont="1" applyBorder="1" applyAlignment="1">
      <alignment vertical="center"/>
    </xf>
    <xf numFmtId="6" fontId="32" fillId="0" borderId="36" xfId="0" applyNumberFormat="1" applyFont="1" applyBorder="1" applyAlignment="1">
      <alignment vertical="center"/>
    </xf>
    <xf numFmtId="0" fontId="14" fillId="0" borderId="24" xfId="0" applyFont="1" applyBorder="1" applyAlignment="1">
      <alignment vertical="center" wrapText="1"/>
    </xf>
    <xf numFmtId="0" fontId="14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6" fontId="33" fillId="0" borderId="24" xfId="0" applyNumberFormat="1" applyFont="1" applyBorder="1" applyAlignment="1">
      <alignment horizontal="center" vertical="center"/>
    </xf>
    <xf numFmtId="6" fontId="33" fillId="0" borderId="25" xfId="0" applyNumberFormat="1" applyFont="1" applyBorder="1" applyAlignment="1">
      <alignment horizontal="center" vertical="center"/>
    </xf>
    <xf numFmtId="6" fontId="33" fillId="0" borderId="26" xfId="0" applyNumberFormat="1" applyFont="1" applyBorder="1" applyAlignment="1">
      <alignment horizontal="center" vertical="center"/>
    </xf>
    <xf numFmtId="0" fontId="24" fillId="0" borderId="32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0" fontId="24" fillId="0" borderId="34" xfId="0" applyFont="1" applyBorder="1" applyAlignment="1">
      <alignment vertical="center" wrapText="1"/>
    </xf>
    <xf numFmtId="6" fontId="32" fillId="0" borderId="32" xfId="0" applyNumberFormat="1" applyFont="1" applyBorder="1" applyAlignment="1">
      <alignment horizontal="center" vertical="center"/>
    </xf>
    <xf numFmtId="6" fontId="32" fillId="0" borderId="33" xfId="0" applyNumberFormat="1" applyFont="1" applyBorder="1" applyAlignment="1">
      <alignment horizontal="center" vertical="center"/>
    </xf>
    <xf numFmtId="6" fontId="32" fillId="0" borderId="34" xfId="0" applyNumberFormat="1" applyFont="1" applyBorder="1" applyAlignment="1">
      <alignment horizontal="center" vertical="center"/>
    </xf>
    <xf numFmtId="0" fontId="29" fillId="4" borderId="13" xfId="0" applyFont="1" applyFill="1" applyBorder="1" applyAlignment="1">
      <alignment vertical="center" wrapText="1"/>
    </xf>
    <xf numFmtId="0" fontId="29" fillId="4" borderId="15" xfId="0" applyFont="1" applyFill="1" applyBorder="1" applyAlignment="1">
      <alignment vertical="center" wrapText="1"/>
    </xf>
    <xf numFmtId="0" fontId="29" fillId="4" borderId="14" xfId="0" applyFont="1" applyFill="1" applyBorder="1" applyAlignment="1">
      <alignment vertical="center" wrapText="1"/>
    </xf>
    <xf numFmtId="0" fontId="26" fillId="0" borderId="3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9" fillId="4" borderId="35" xfId="0" applyFont="1" applyFill="1" applyBorder="1" applyAlignment="1">
      <alignment vertical="center" wrapText="1"/>
    </xf>
    <xf numFmtId="0" fontId="29" fillId="4" borderId="25" xfId="0" applyFont="1" applyFill="1" applyBorder="1" applyAlignment="1">
      <alignment vertical="center" wrapText="1"/>
    </xf>
    <xf numFmtId="0" fontId="29" fillId="4" borderId="36" xfId="0" applyFont="1" applyFill="1" applyBorder="1" applyAlignment="1">
      <alignment vertical="center" wrapText="1"/>
    </xf>
    <xf numFmtId="6" fontId="24" fillId="0" borderId="16" xfId="0" applyNumberFormat="1" applyFont="1" applyBorder="1" applyAlignment="1">
      <alignment horizontal="center" vertical="center"/>
    </xf>
    <xf numFmtId="6" fontId="24" fillId="0" borderId="6" xfId="0" applyNumberFormat="1" applyFont="1" applyBorder="1" applyAlignment="1">
      <alignment horizontal="center" vertical="center"/>
    </xf>
    <xf numFmtId="0" fontId="26" fillId="0" borderId="17" xfId="0" applyFont="1" applyBorder="1" applyAlignment="1">
      <alignment vertical="center" wrapText="1"/>
    </xf>
    <xf numFmtId="0" fontId="26" fillId="0" borderId="18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4" borderId="13" xfId="0" applyFont="1" applyFill="1" applyBorder="1" applyAlignment="1">
      <alignment vertical="center" wrapText="1"/>
    </xf>
    <xf numFmtId="0" fontId="26" fillId="4" borderId="15" xfId="0" applyFont="1" applyFill="1" applyBorder="1" applyAlignment="1">
      <alignment vertical="center" wrapText="1"/>
    </xf>
    <xf numFmtId="0" fontId="26" fillId="4" borderId="14" xfId="0" applyFont="1" applyFill="1" applyBorder="1" applyAlignment="1">
      <alignment vertical="center" wrapText="1"/>
    </xf>
    <xf numFmtId="0" fontId="24" fillId="0" borderId="20" xfId="0" applyFont="1" applyBorder="1" applyAlignment="1">
      <alignment vertical="center" wrapText="1"/>
    </xf>
    <xf numFmtId="0" fontId="24" fillId="0" borderId="5" xfId="0" applyFont="1" applyBorder="1" applyAlignment="1">
      <alignment vertical="center" wrapText="1"/>
    </xf>
    <xf numFmtId="0" fontId="24" fillId="0" borderId="7" xfId="0" applyFont="1" applyBorder="1" applyAlignment="1">
      <alignment vertical="center" wrapText="1"/>
    </xf>
    <xf numFmtId="0" fontId="24" fillId="0" borderId="16" xfId="0" applyFont="1" applyBorder="1" applyAlignment="1">
      <alignment horizontal="right" vertical="center"/>
    </xf>
    <xf numFmtId="0" fontId="24" fillId="0" borderId="6" xfId="0" applyFont="1" applyBorder="1" applyAlignment="1">
      <alignment horizontal="right" vertical="center"/>
    </xf>
    <xf numFmtId="0" fontId="24" fillId="0" borderId="16" xfId="0" applyFont="1" applyBorder="1" applyAlignment="1">
      <alignment vertical="center"/>
    </xf>
    <xf numFmtId="0" fontId="24" fillId="0" borderId="6" xfId="0" applyFont="1" applyBorder="1" applyAlignment="1">
      <alignment vertical="center"/>
    </xf>
    <xf numFmtId="0" fontId="32" fillId="0" borderId="16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26" fillId="0" borderId="20" xfId="0" applyFont="1" applyBorder="1" applyAlignment="1">
      <alignment vertical="center" wrapText="1"/>
    </xf>
    <xf numFmtId="0" fontId="26" fillId="0" borderId="5" xfId="0" applyFont="1" applyBorder="1" applyAlignment="1">
      <alignment vertical="center" wrapText="1"/>
    </xf>
    <xf numFmtId="0" fontId="26" fillId="0" borderId="7" xfId="0" applyFont="1" applyBorder="1" applyAlignment="1">
      <alignment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6" fontId="27" fillId="0" borderId="16" xfId="0" applyNumberFormat="1" applyFont="1" applyBorder="1" applyAlignment="1">
      <alignment horizontal="center" vertical="center"/>
    </xf>
    <xf numFmtId="6" fontId="27" fillId="0" borderId="6" xfId="0" applyNumberFormat="1" applyFont="1" applyBorder="1" applyAlignment="1">
      <alignment horizontal="center" vertical="center"/>
    </xf>
    <xf numFmtId="6" fontId="24" fillId="0" borderId="17" xfId="0" applyNumberFormat="1" applyFont="1" applyBorder="1" applyAlignment="1">
      <alignment horizontal="center" vertical="center"/>
    </xf>
    <xf numFmtId="6" fontId="24" fillId="0" borderId="19" xfId="0" applyNumberFormat="1" applyFont="1" applyBorder="1" applyAlignment="1">
      <alignment horizontal="center" vertical="center"/>
    </xf>
    <xf numFmtId="6" fontId="24" fillId="0" borderId="20" xfId="0" applyNumberFormat="1" applyFont="1" applyBorder="1" applyAlignment="1">
      <alignment horizontal="center" vertical="center"/>
    </xf>
    <xf numFmtId="6" fontId="24" fillId="0" borderId="7" xfId="0" applyNumberFormat="1" applyFont="1" applyBorder="1" applyAlignment="1">
      <alignment horizontal="center" vertical="center"/>
    </xf>
    <xf numFmtId="0" fontId="14" fillId="4" borderId="0" xfId="0" applyFont="1" applyFill="1" applyAlignment="1">
      <alignment horizontal="center" vertical="center" wrapText="1"/>
    </xf>
    <xf numFmtId="0" fontId="25" fillId="4" borderId="0" xfId="0" applyFont="1" applyFill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25" fillId="4" borderId="13" xfId="0" applyFont="1" applyFill="1" applyBorder="1" applyAlignment="1">
      <alignment horizontal="center" vertical="center" wrapText="1"/>
    </xf>
    <xf numFmtId="0" fontId="25" fillId="4" borderId="14" xfId="0" applyFont="1" applyFill="1" applyBorder="1" applyAlignment="1">
      <alignment horizontal="center" vertical="center" wrapText="1"/>
    </xf>
    <xf numFmtId="0" fontId="25" fillId="4" borderId="20" xfId="0" applyFont="1" applyFill="1" applyBorder="1" applyAlignment="1">
      <alignment horizontal="center" vertical="center" wrapText="1"/>
    </xf>
    <xf numFmtId="0" fontId="25" fillId="4" borderId="7" xfId="0" applyFont="1" applyFill="1" applyBorder="1" applyAlignment="1">
      <alignment horizontal="center" vertical="center" wrapText="1"/>
    </xf>
    <xf numFmtId="0" fontId="23" fillId="4" borderId="13" xfId="0" applyFont="1" applyFill="1" applyBorder="1" applyAlignment="1">
      <alignment vertical="center" wrapText="1"/>
    </xf>
    <xf numFmtId="0" fontId="23" fillId="4" borderId="15" xfId="0" applyFont="1" applyFill="1" applyBorder="1" applyAlignment="1">
      <alignment vertical="center" wrapText="1"/>
    </xf>
    <xf numFmtId="0" fontId="23" fillId="4" borderId="14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164" fontId="12" fillId="0" borderId="0" xfId="1" applyFont="1" applyBorder="1" applyAlignment="1">
      <alignment horizontal="left" vertical="center"/>
    </xf>
    <xf numFmtId="0" fontId="24" fillId="0" borderId="35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4" fillId="0" borderId="21" xfId="0" applyFont="1" applyBorder="1" applyAlignment="1">
      <alignment horizontal="right" vertical="center"/>
    </xf>
    <xf numFmtId="0" fontId="24" fillId="0" borderId="23" xfId="0" applyFont="1" applyBorder="1" applyAlignment="1">
      <alignment horizontal="right" vertical="center"/>
    </xf>
    <xf numFmtId="6" fontId="24" fillId="0" borderId="24" xfId="0" applyNumberFormat="1" applyFont="1" applyBorder="1" applyAlignment="1">
      <alignment horizontal="right" vertical="center"/>
    </xf>
    <xf numFmtId="6" fontId="24" fillId="0" borderId="26" xfId="0" applyNumberFormat="1" applyFont="1" applyBorder="1" applyAlignment="1">
      <alignment horizontal="right" vertical="center"/>
    </xf>
    <xf numFmtId="6" fontId="24" fillId="0" borderId="13" xfId="0" applyNumberFormat="1" applyFont="1" applyBorder="1" applyAlignment="1">
      <alignment horizontal="right" vertical="center"/>
    </xf>
    <xf numFmtId="6" fontId="24" fillId="0" borderId="14" xfId="0" applyNumberFormat="1" applyFont="1" applyBorder="1" applyAlignment="1">
      <alignment horizontal="right" vertical="center"/>
    </xf>
    <xf numFmtId="0" fontId="24" fillId="0" borderId="13" xfId="0" applyFont="1" applyBorder="1" applyAlignment="1">
      <alignment horizontal="right" vertical="center"/>
    </xf>
    <xf numFmtId="0" fontId="24" fillId="0" borderId="14" xfId="0" applyFont="1" applyBorder="1" applyAlignment="1">
      <alignment horizontal="right" vertical="center"/>
    </xf>
    <xf numFmtId="0" fontId="24" fillId="0" borderId="32" xfId="0" applyFont="1" applyBorder="1" applyAlignment="1">
      <alignment horizontal="right" vertical="center"/>
    </xf>
    <xf numFmtId="0" fontId="24" fillId="0" borderId="34" xfId="0" applyFont="1" applyBorder="1" applyAlignment="1">
      <alignment horizontal="right" vertical="center"/>
    </xf>
    <xf numFmtId="0" fontId="24" fillId="0" borderId="24" xfId="0" applyFont="1" applyBorder="1" applyAlignment="1">
      <alignment horizontal="right" vertical="center"/>
    </xf>
    <xf numFmtId="0" fontId="24" fillId="0" borderId="26" xfId="0" applyFont="1" applyBorder="1" applyAlignment="1">
      <alignment horizontal="right" vertical="center"/>
    </xf>
    <xf numFmtId="6" fontId="24" fillId="0" borderId="27" xfId="0" applyNumberFormat="1" applyFont="1" applyBorder="1" applyAlignment="1">
      <alignment horizontal="right" vertical="center"/>
    </xf>
    <xf numFmtId="6" fontId="24" fillId="0" borderId="11" xfId="0" applyNumberFormat="1" applyFont="1" applyBorder="1" applyAlignment="1">
      <alignment horizontal="right" vertical="center"/>
    </xf>
    <xf numFmtId="0" fontId="27" fillId="0" borderId="27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6" fontId="24" fillId="0" borderId="28" xfId="0" applyNumberFormat="1" applyFont="1" applyBorder="1" applyAlignment="1">
      <alignment horizontal="right" vertical="center"/>
    </xf>
    <xf numFmtId="6" fontId="24" fillId="0" borderId="30" xfId="0" applyNumberFormat="1" applyFont="1" applyBorder="1" applyAlignment="1">
      <alignment horizontal="right" vertical="center"/>
    </xf>
    <xf numFmtId="6" fontId="24" fillId="0" borderId="31" xfId="0" applyNumberFormat="1" applyFont="1" applyBorder="1" applyAlignment="1">
      <alignment horizontal="right" vertical="center"/>
    </xf>
    <xf numFmtId="6" fontId="24" fillId="0" borderId="12" xfId="0" applyNumberFormat="1" applyFont="1" applyBorder="1" applyAlignment="1">
      <alignment horizontal="right" vertical="center"/>
    </xf>
    <xf numFmtId="0" fontId="24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27" xfId="0" applyFont="1" applyBorder="1" applyAlignment="1">
      <alignment horizontal="right" vertical="center"/>
    </xf>
    <xf numFmtId="0" fontId="24" fillId="0" borderId="11" xfId="0" applyFont="1" applyBorder="1" applyAlignment="1">
      <alignment horizontal="right" vertical="center"/>
    </xf>
    <xf numFmtId="0" fontId="24" fillId="0" borderId="27" xfId="0" applyFont="1" applyBorder="1" applyAlignment="1">
      <alignment vertical="center"/>
    </xf>
    <xf numFmtId="0" fontId="24" fillId="0" borderId="11" xfId="0" applyFont="1" applyBorder="1" applyAlignment="1">
      <alignment vertical="center"/>
    </xf>
    <xf numFmtId="0" fontId="14" fillId="0" borderId="27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6" fontId="24" fillId="0" borderId="16" xfId="0" applyNumberFormat="1" applyFont="1" applyBorder="1" applyAlignment="1">
      <alignment horizontal="right" vertical="center"/>
    </xf>
    <xf numFmtId="6" fontId="24" fillId="0" borderId="6" xfId="0" applyNumberFormat="1" applyFont="1" applyBorder="1" applyAlignment="1">
      <alignment horizontal="right" vertical="center"/>
    </xf>
    <xf numFmtId="0" fontId="14" fillId="0" borderId="1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 wrapText="1"/>
    </xf>
  </cellXfs>
  <cellStyles count="2">
    <cellStyle name="Ezres" xfId="1" builtinId="3"/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topLeftCell="B1" workbookViewId="0">
      <selection activeCell="I40" sqref="I40"/>
    </sheetView>
  </sheetViews>
  <sheetFormatPr defaultRowHeight="15"/>
  <cols>
    <col min="1" max="1" width="9.140625" style="1"/>
    <col min="2" max="2" width="18.7109375" bestFit="1" customWidth="1"/>
    <col min="3" max="3" width="13.42578125" bestFit="1" customWidth="1"/>
    <col min="4" max="4" width="48.7109375" customWidth="1"/>
    <col min="5" max="5" width="15.5703125" customWidth="1"/>
    <col min="6" max="6" width="28.85546875" customWidth="1"/>
    <col min="7" max="7" width="18.140625" customWidth="1"/>
    <col min="8" max="9" width="9.140625" style="1"/>
    <col min="10" max="10" width="13.7109375" style="25" bestFit="1" customWidth="1"/>
    <col min="11" max="12" width="13.7109375" style="26" bestFit="1" customWidth="1"/>
    <col min="13" max="13" width="13.7109375" style="25" bestFit="1" customWidth="1"/>
    <col min="14" max="14" width="5.42578125" customWidth="1"/>
    <col min="15" max="15" width="12.140625" bestFit="1" customWidth="1"/>
    <col min="16" max="16" width="10.140625" bestFit="1" customWidth="1"/>
  </cols>
  <sheetData>
    <row r="1" spans="1:16" ht="28.5">
      <c r="A1" s="7" t="s">
        <v>0</v>
      </c>
      <c r="B1" s="8" t="s">
        <v>1</v>
      </c>
      <c r="C1" s="9" t="s">
        <v>2</v>
      </c>
      <c r="D1" s="10" t="s">
        <v>3</v>
      </c>
      <c r="E1" s="10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20" t="s">
        <v>98</v>
      </c>
      <c r="K1" s="20" t="s">
        <v>105</v>
      </c>
      <c r="L1" s="20" t="s">
        <v>106</v>
      </c>
      <c r="M1" s="20" t="s">
        <v>107</v>
      </c>
    </row>
    <row r="2" spans="1:16" ht="18.75" customHeight="1">
      <c r="A2" s="244" t="s">
        <v>96</v>
      </c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6"/>
    </row>
    <row r="3" spans="1:16" ht="30">
      <c r="A3" s="12">
        <v>1</v>
      </c>
      <c r="B3" s="13" t="s">
        <v>9</v>
      </c>
      <c r="C3" s="14"/>
      <c r="D3" s="34" t="s">
        <v>10</v>
      </c>
      <c r="E3" s="13" t="s">
        <v>11</v>
      </c>
      <c r="F3" s="39" t="s">
        <v>12</v>
      </c>
      <c r="G3" s="13" t="s">
        <v>97</v>
      </c>
      <c r="H3" s="15">
        <v>1</v>
      </c>
      <c r="I3" s="16" t="s">
        <v>13</v>
      </c>
      <c r="J3" s="21">
        <v>61500</v>
      </c>
      <c r="K3" s="22">
        <v>27800</v>
      </c>
      <c r="L3" s="22">
        <f>SUM(H3*J3)</f>
        <v>61500</v>
      </c>
      <c r="M3" s="40">
        <f>SUM(H3*K3)</f>
        <v>27800</v>
      </c>
      <c r="N3" s="19"/>
      <c r="O3" s="42"/>
      <c r="P3" s="42"/>
    </row>
    <row r="4" spans="1:16">
      <c r="A4" s="12">
        <v>2</v>
      </c>
      <c r="B4" s="13" t="s">
        <v>24</v>
      </c>
      <c r="C4" s="13">
        <v>1</v>
      </c>
      <c r="D4" s="35" t="s">
        <v>99</v>
      </c>
      <c r="E4" s="13" t="s">
        <v>14</v>
      </c>
      <c r="F4" s="35" t="s">
        <v>15</v>
      </c>
      <c r="G4" s="13" t="s">
        <v>16</v>
      </c>
      <c r="H4" s="15">
        <v>1</v>
      </c>
      <c r="I4" s="16" t="s">
        <v>13</v>
      </c>
      <c r="J4" s="21">
        <v>16400</v>
      </c>
      <c r="K4" s="22">
        <v>7553</v>
      </c>
      <c r="L4" s="22">
        <f t="shared" ref="L4:L37" si="0">SUM(H4*J4)</f>
        <v>16400</v>
      </c>
      <c r="M4" s="40">
        <f t="shared" ref="M4:M37" si="1">SUM(H4*K4)</f>
        <v>7553</v>
      </c>
      <c r="N4" s="19"/>
    </row>
    <row r="5" spans="1:16" ht="30.75" customHeight="1">
      <c r="A5" s="12">
        <v>3</v>
      </c>
      <c r="B5" s="13" t="s">
        <v>25</v>
      </c>
      <c r="C5" s="13">
        <v>2</v>
      </c>
      <c r="D5" s="34" t="s">
        <v>100</v>
      </c>
      <c r="E5" s="13" t="s">
        <v>17</v>
      </c>
      <c r="F5" s="39" t="s">
        <v>18</v>
      </c>
      <c r="G5" s="13" t="s">
        <v>19</v>
      </c>
      <c r="H5" s="15">
        <v>1</v>
      </c>
      <c r="I5" s="16" t="s">
        <v>13</v>
      </c>
      <c r="J5" s="21">
        <v>24800</v>
      </c>
      <c r="K5" s="22">
        <v>12400</v>
      </c>
      <c r="L5" s="22">
        <f t="shared" si="0"/>
        <v>24800</v>
      </c>
      <c r="M5" s="40">
        <f t="shared" si="1"/>
        <v>12400</v>
      </c>
      <c r="N5" s="19"/>
    </row>
    <row r="6" spans="1:16" ht="34.5" customHeight="1">
      <c r="A6" s="12">
        <v>4</v>
      </c>
      <c r="B6" s="13" t="s">
        <v>25</v>
      </c>
      <c r="C6" s="13">
        <v>3</v>
      </c>
      <c r="D6" s="34" t="s">
        <v>101</v>
      </c>
      <c r="E6" s="13" t="s">
        <v>17</v>
      </c>
      <c r="F6" s="34" t="s">
        <v>115</v>
      </c>
      <c r="G6" s="13" t="s">
        <v>20</v>
      </c>
      <c r="H6" s="15">
        <v>1</v>
      </c>
      <c r="I6" s="16" t="s">
        <v>13</v>
      </c>
      <c r="J6" s="21">
        <v>32450</v>
      </c>
      <c r="K6" s="22">
        <v>19800</v>
      </c>
      <c r="L6" s="22">
        <f t="shared" si="0"/>
        <v>32450</v>
      </c>
      <c r="M6" s="40">
        <f t="shared" si="1"/>
        <v>19800</v>
      </c>
      <c r="N6" s="19"/>
    </row>
    <row r="7" spans="1:16" ht="18.75" customHeight="1">
      <c r="A7" s="12">
        <v>5</v>
      </c>
      <c r="B7" s="13" t="s">
        <v>26</v>
      </c>
      <c r="C7" s="13">
        <v>4</v>
      </c>
      <c r="D7" s="35" t="s">
        <v>102</v>
      </c>
      <c r="E7" s="13" t="s">
        <v>17</v>
      </c>
      <c r="F7" s="39" t="s">
        <v>21</v>
      </c>
      <c r="G7" s="13" t="s">
        <v>29</v>
      </c>
      <c r="H7" s="16">
        <v>4</v>
      </c>
      <c r="I7" s="17" t="s">
        <v>13</v>
      </c>
      <c r="J7" s="41">
        <v>3450</v>
      </c>
      <c r="K7" s="22">
        <v>1200</v>
      </c>
      <c r="L7" s="22">
        <f t="shared" si="0"/>
        <v>13800</v>
      </c>
      <c r="M7" s="40">
        <f t="shared" si="1"/>
        <v>4800</v>
      </c>
      <c r="N7" s="19"/>
    </row>
    <row r="8" spans="1:16" ht="21.75" customHeight="1">
      <c r="A8" s="12">
        <v>6</v>
      </c>
      <c r="B8" s="13" t="s">
        <v>27</v>
      </c>
      <c r="C8" s="13">
        <v>4</v>
      </c>
      <c r="D8" s="35" t="s">
        <v>103</v>
      </c>
      <c r="E8" s="13" t="s">
        <v>17</v>
      </c>
      <c r="F8" s="39" t="s">
        <v>22</v>
      </c>
      <c r="G8" s="13" t="s">
        <v>30</v>
      </c>
      <c r="H8" s="16">
        <v>8</v>
      </c>
      <c r="I8" s="17" t="s">
        <v>13</v>
      </c>
      <c r="J8" s="41">
        <v>3700</v>
      </c>
      <c r="K8" s="22">
        <v>1200</v>
      </c>
      <c r="L8" s="22">
        <f t="shared" si="0"/>
        <v>29600</v>
      </c>
      <c r="M8" s="40">
        <f t="shared" si="1"/>
        <v>9600</v>
      </c>
      <c r="N8" s="19"/>
    </row>
    <row r="9" spans="1:16">
      <c r="A9" s="12">
        <v>7</v>
      </c>
      <c r="B9" s="13" t="s">
        <v>28</v>
      </c>
      <c r="C9" s="13">
        <v>4</v>
      </c>
      <c r="D9" s="34" t="s">
        <v>104</v>
      </c>
      <c r="E9" s="13" t="s">
        <v>17</v>
      </c>
      <c r="F9" s="39" t="s">
        <v>23</v>
      </c>
      <c r="G9" s="13" t="s">
        <v>31</v>
      </c>
      <c r="H9" s="16">
        <v>1</v>
      </c>
      <c r="I9" s="18" t="s">
        <v>13</v>
      </c>
      <c r="J9" s="41">
        <v>6100</v>
      </c>
      <c r="K9" s="22">
        <v>4600</v>
      </c>
      <c r="L9" s="22">
        <f t="shared" si="0"/>
        <v>6100</v>
      </c>
      <c r="M9" s="40">
        <f t="shared" si="1"/>
        <v>4600</v>
      </c>
      <c r="N9" s="19"/>
    </row>
    <row r="10" spans="1:16">
      <c r="A10" s="3">
        <v>8</v>
      </c>
      <c r="B10" s="2" t="s">
        <v>32</v>
      </c>
      <c r="C10" s="2"/>
      <c r="D10" s="36" t="s">
        <v>81</v>
      </c>
      <c r="E10" s="2"/>
      <c r="F10" s="36" t="s">
        <v>33</v>
      </c>
      <c r="G10" s="2" t="s">
        <v>34</v>
      </c>
      <c r="H10" s="3">
        <v>1</v>
      </c>
      <c r="I10" s="3" t="s">
        <v>13</v>
      </c>
      <c r="J10" s="23">
        <v>7500</v>
      </c>
      <c r="K10" s="22">
        <v>17500</v>
      </c>
      <c r="L10" s="22">
        <f t="shared" si="0"/>
        <v>7500</v>
      </c>
      <c r="M10" s="40">
        <f t="shared" si="1"/>
        <v>17500</v>
      </c>
      <c r="N10" s="19"/>
    </row>
    <row r="11" spans="1:16" s="94" customFormat="1" ht="29.25">
      <c r="A11" s="86" t="s">
        <v>35</v>
      </c>
      <c r="B11" s="87" t="s">
        <v>36</v>
      </c>
      <c r="C11" s="87" t="s">
        <v>37</v>
      </c>
      <c r="D11" s="96" t="s">
        <v>114</v>
      </c>
      <c r="E11" s="97"/>
      <c r="F11" s="88" t="s">
        <v>38</v>
      </c>
      <c r="G11" s="87" t="s">
        <v>39</v>
      </c>
      <c r="H11" s="86">
        <v>1</v>
      </c>
      <c r="I11" s="86" t="s">
        <v>13</v>
      </c>
      <c r="J11" s="90">
        <v>870</v>
      </c>
      <c r="K11" s="91">
        <v>450</v>
      </c>
      <c r="L11" s="91">
        <f t="shared" si="0"/>
        <v>870</v>
      </c>
      <c r="M11" s="92">
        <f t="shared" si="1"/>
        <v>450</v>
      </c>
      <c r="N11" s="93"/>
    </row>
    <row r="12" spans="1:16" s="94" customFormat="1">
      <c r="A12" s="86">
        <v>11</v>
      </c>
      <c r="B12" s="87" t="s">
        <v>32</v>
      </c>
      <c r="C12" s="87"/>
      <c r="D12" s="88" t="s">
        <v>82</v>
      </c>
      <c r="E12" s="87"/>
      <c r="F12" s="87" t="s">
        <v>41</v>
      </c>
      <c r="G12" s="89">
        <v>1115456</v>
      </c>
      <c r="H12" s="86">
        <v>1</v>
      </c>
      <c r="I12" s="86" t="s">
        <v>42</v>
      </c>
      <c r="J12" s="90">
        <v>5750</v>
      </c>
      <c r="K12" s="91">
        <v>2800</v>
      </c>
      <c r="L12" s="91">
        <f t="shared" si="0"/>
        <v>5750</v>
      </c>
      <c r="M12" s="92">
        <f t="shared" si="1"/>
        <v>2800</v>
      </c>
      <c r="N12" s="93"/>
    </row>
    <row r="13" spans="1:16" s="94" customFormat="1" ht="29.25">
      <c r="A13" s="86">
        <v>12</v>
      </c>
      <c r="B13" s="95"/>
      <c r="C13" s="95"/>
      <c r="D13" s="88" t="s">
        <v>83</v>
      </c>
      <c r="E13" s="87" t="s">
        <v>40</v>
      </c>
      <c r="F13" s="87" t="s">
        <v>43</v>
      </c>
      <c r="G13" s="89">
        <v>6026419</v>
      </c>
      <c r="H13" s="86">
        <v>1</v>
      </c>
      <c r="I13" s="86" t="s">
        <v>42</v>
      </c>
      <c r="J13" s="90">
        <v>4850</v>
      </c>
      <c r="K13" s="91">
        <v>7100</v>
      </c>
      <c r="L13" s="91">
        <f t="shared" si="0"/>
        <v>4850</v>
      </c>
      <c r="M13" s="92">
        <f t="shared" si="1"/>
        <v>7100</v>
      </c>
      <c r="N13" s="93"/>
    </row>
    <row r="14" spans="1:16" s="94" customFormat="1">
      <c r="A14" s="86">
        <v>13</v>
      </c>
      <c r="B14" s="95"/>
      <c r="C14" s="95"/>
      <c r="D14" s="88" t="s">
        <v>84</v>
      </c>
      <c r="E14" s="87" t="s">
        <v>44</v>
      </c>
      <c r="F14" s="87" t="s">
        <v>45</v>
      </c>
      <c r="G14" s="87" t="s">
        <v>46</v>
      </c>
      <c r="H14" s="86">
        <v>6</v>
      </c>
      <c r="I14" s="86" t="s">
        <v>42</v>
      </c>
      <c r="J14" s="90">
        <v>17850</v>
      </c>
      <c r="K14" s="91">
        <v>41700</v>
      </c>
      <c r="L14" s="91">
        <f t="shared" si="0"/>
        <v>107100</v>
      </c>
      <c r="M14" s="92">
        <f t="shared" si="1"/>
        <v>250200</v>
      </c>
      <c r="N14" s="93"/>
    </row>
    <row r="15" spans="1:16" s="94" customFormat="1">
      <c r="A15" s="86">
        <v>14</v>
      </c>
      <c r="B15" s="95"/>
      <c r="C15" s="95"/>
      <c r="D15" s="88" t="s">
        <v>47</v>
      </c>
      <c r="E15" s="87" t="s">
        <v>44</v>
      </c>
      <c r="F15" s="87" t="s">
        <v>45</v>
      </c>
      <c r="G15" s="87" t="s">
        <v>48</v>
      </c>
      <c r="H15" s="86">
        <v>6</v>
      </c>
      <c r="I15" s="86" t="s">
        <v>42</v>
      </c>
      <c r="J15" s="90">
        <v>4750</v>
      </c>
      <c r="K15" s="91">
        <v>2713</v>
      </c>
      <c r="L15" s="91">
        <f t="shared" si="0"/>
        <v>28500</v>
      </c>
      <c r="M15" s="92">
        <f t="shared" si="1"/>
        <v>16278</v>
      </c>
      <c r="N15" s="93"/>
    </row>
    <row r="16" spans="1:16" s="94" customFormat="1">
      <c r="A16" s="86">
        <v>15</v>
      </c>
      <c r="B16" s="95"/>
      <c r="C16" s="95"/>
      <c r="D16" s="88" t="s">
        <v>85</v>
      </c>
      <c r="E16" s="87" t="s">
        <v>44</v>
      </c>
      <c r="F16" s="87" t="s">
        <v>45</v>
      </c>
      <c r="G16" s="87" t="s">
        <v>49</v>
      </c>
      <c r="H16" s="86">
        <v>4</v>
      </c>
      <c r="I16" s="86" t="s">
        <v>13</v>
      </c>
      <c r="J16" s="90">
        <v>570</v>
      </c>
      <c r="K16" s="91">
        <v>360</v>
      </c>
      <c r="L16" s="91">
        <f t="shared" si="0"/>
        <v>2280</v>
      </c>
      <c r="M16" s="92">
        <f t="shared" si="1"/>
        <v>1440</v>
      </c>
      <c r="N16" s="93"/>
    </row>
    <row r="17" spans="1:14" s="94" customFormat="1">
      <c r="A17" s="86">
        <v>16</v>
      </c>
      <c r="B17" s="95"/>
      <c r="C17" s="95"/>
      <c r="D17" s="88" t="s">
        <v>86</v>
      </c>
      <c r="E17" s="87" t="s">
        <v>44</v>
      </c>
      <c r="F17" s="87" t="s">
        <v>45</v>
      </c>
      <c r="G17" s="87" t="s">
        <v>50</v>
      </c>
      <c r="H17" s="86">
        <v>4</v>
      </c>
      <c r="I17" s="86" t="s">
        <v>13</v>
      </c>
      <c r="J17" s="90">
        <v>790</v>
      </c>
      <c r="K17" s="91">
        <v>610</v>
      </c>
      <c r="L17" s="91">
        <f t="shared" si="0"/>
        <v>3160</v>
      </c>
      <c r="M17" s="92">
        <f t="shared" si="1"/>
        <v>2440</v>
      </c>
      <c r="N17" s="93"/>
    </row>
    <row r="18" spans="1:14" s="94" customFormat="1">
      <c r="A18" s="86">
        <v>17</v>
      </c>
      <c r="B18" s="95"/>
      <c r="C18" s="95"/>
      <c r="D18" s="88" t="s">
        <v>87</v>
      </c>
      <c r="E18" s="87" t="s">
        <v>44</v>
      </c>
      <c r="F18" s="87" t="s">
        <v>45</v>
      </c>
      <c r="G18" s="87" t="s">
        <v>51</v>
      </c>
      <c r="H18" s="86">
        <v>2</v>
      </c>
      <c r="I18" s="86" t="s">
        <v>13</v>
      </c>
      <c r="J18" s="90">
        <v>5140</v>
      </c>
      <c r="K18" s="91">
        <v>3987</v>
      </c>
      <c r="L18" s="91">
        <f t="shared" si="0"/>
        <v>10280</v>
      </c>
      <c r="M18" s="92">
        <f t="shared" si="1"/>
        <v>7974</v>
      </c>
      <c r="N18" s="93"/>
    </row>
    <row r="19" spans="1:14" s="94" customFormat="1">
      <c r="A19" s="86">
        <v>18</v>
      </c>
      <c r="B19" s="95"/>
      <c r="C19" s="95"/>
      <c r="D19" s="88" t="s">
        <v>52</v>
      </c>
      <c r="E19" s="87" t="s">
        <v>44</v>
      </c>
      <c r="F19" s="87" t="s">
        <v>45</v>
      </c>
      <c r="G19" s="87" t="s">
        <v>53</v>
      </c>
      <c r="H19" s="86">
        <v>3</v>
      </c>
      <c r="I19" s="86" t="s">
        <v>13</v>
      </c>
      <c r="J19" s="90">
        <v>3250</v>
      </c>
      <c r="K19" s="91">
        <v>2395</v>
      </c>
      <c r="L19" s="91">
        <f t="shared" si="0"/>
        <v>9750</v>
      </c>
      <c r="M19" s="92">
        <f t="shared" si="1"/>
        <v>7185</v>
      </c>
      <c r="N19" s="93"/>
    </row>
    <row r="20" spans="1:14" s="94" customFormat="1">
      <c r="A20" s="86">
        <v>19</v>
      </c>
      <c r="B20" s="95"/>
      <c r="C20" s="95"/>
      <c r="D20" s="88" t="s">
        <v>54</v>
      </c>
      <c r="E20" s="87" t="s">
        <v>44</v>
      </c>
      <c r="F20" s="87" t="s">
        <v>45</v>
      </c>
      <c r="G20" s="87" t="s">
        <v>55</v>
      </c>
      <c r="H20" s="86">
        <v>2</v>
      </c>
      <c r="I20" s="86" t="s">
        <v>13</v>
      </c>
      <c r="J20" s="90">
        <v>7320</v>
      </c>
      <c r="K20" s="91">
        <v>5763</v>
      </c>
      <c r="L20" s="91">
        <f t="shared" si="0"/>
        <v>14640</v>
      </c>
      <c r="M20" s="92">
        <f t="shared" si="1"/>
        <v>11526</v>
      </c>
      <c r="N20" s="93"/>
    </row>
    <row r="21" spans="1:14" s="94" customFormat="1">
      <c r="A21" s="86">
        <v>20</v>
      </c>
      <c r="B21" s="95"/>
      <c r="C21" s="95"/>
      <c r="D21" s="88" t="s">
        <v>56</v>
      </c>
      <c r="E21" s="87" t="s">
        <v>44</v>
      </c>
      <c r="F21" s="87" t="s">
        <v>45</v>
      </c>
      <c r="G21" s="87" t="s">
        <v>57</v>
      </c>
      <c r="H21" s="86">
        <v>2</v>
      </c>
      <c r="I21" s="86" t="s">
        <v>13</v>
      </c>
      <c r="J21" s="90">
        <v>2380</v>
      </c>
      <c r="K21" s="91">
        <v>1777</v>
      </c>
      <c r="L21" s="91">
        <f t="shared" si="0"/>
        <v>4760</v>
      </c>
      <c r="M21" s="92">
        <f t="shared" si="1"/>
        <v>3554</v>
      </c>
      <c r="N21" s="93"/>
    </row>
    <row r="22" spans="1:14" ht="29.25">
      <c r="A22" s="3">
        <v>21</v>
      </c>
      <c r="B22" s="4"/>
      <c r="C22" s="4"/>
      <c r="D22" s="36" t="s">
        <v>88</v>
      </c>
      <c r="E22" s="2" t="s">
        <v>44</v>
      </c>
      <c r="F22" s="2" t="s">
        <v>58</v>
      </c>
      <c r="G22" s="2" t="s">
        <v>59</v>
      </c>
      <c r="H22" s="3">
        <v>3</v>
      </c>
      <c r="I22" s="3" t="s">
        <v>13</v>
      </c>
      <c r="J22" s="23">
        <v>2470</v>
      </c>
      <c r="K22" s="22">
        <v>752</v>
      </c>
      <c r="L22" s="22">
        <f t="shared" si="0"/>
        <v>7410</v>
      </c>
      <c r="M22" s="40">
        <f t="shared" si="1"/>
        <v>2256</v>
      </c>
      <c r="N22" s="19"/>
    </row>
    <row r="23" spans="1:14" ht="29.25">
      <c r="A23" s="3">
        <v>22</v>
      </c>
      <c r="B23" s="4"/>
      <c r="C23" s="4"/>
      <c r="D23" s="36" t="s">
        <v>89</v>
      </c>
      <c r="E23" s="2" t="s">
        <v>44</v>
      </c>
      <c r="F23" s="2" t="s">
        <v>58</v>
      </c>
      <c r="G23" s="2" t="s">
        <v>60</v>
      </c>
      <c r="H23" s="3">
        <v>1</v>
      </c>
      <c r="I23" s="3" t="s">
        <v>13</v>
      </c>
      <c r="J23" s="23">
        <v>7800</v>
      </c>
      <c r="K23" s="22">
        <v>5137</v>
      </c>
      <c r="L23" s="22">
        <f t="shared" si="0"/>
        <v>7800</v>
      </c>
      <c r="M23" s="40">
        <f t="shared" si="1"/>
        <v>5137</v>
      </c>
      <c r="N23" s="19"/>
    </row>
    <row r="24" spans="1:14">
      <c r="A24" s="3">
        <v>23</v>
      </c>
      <c r="B24" s="4"/>
      <c r="C24" s="4"/>
      <c r="D24" s="36" t="s">
        <v>90</v>
      </c>
      <c r="E24" s="2" t="s">
        <v>44</v>
      </c>
      <c r="F24" s="2" t="s">
        <v>58</v>
      </c>
      <c r="G24" s="2" t="s">
        <v>61</v>
      </c>
      <c r="H24" s="3">
        <v>1</v>
      </c>
      <c r="I24" s="3" t="s">
        <v>13</v>
      </c>
      <c r="J24" s="23">
        <v>9460</v>
      </c>
      <c r="K24" s="22">
        <v>6696</v>
      </c>
      <c r="L24" s="22">
        <f t="shared" si="0"/>
        <v>9460</v>
      </c>
      <c r="M24" s="40">
        <f t="shared" si="1"/>
        <v>6696</v>
      </c>
      <c r="N24" s="19"/>
    </row>
    <row r="25" spans="1:14">
      <c r="A25" s="3">
        <v>24</v>
      </c>
      <c r="B25" s="4"/>
      <c r="C25" s="4"/>
      <c r="D25" s="36" t="s">
        <v>109</v>
      </c>
      <c r="E25" s="2" t="s">
        <v>44</v>
      </c>
      <c r="F25" s="2" t="s">
        <v>58</v>
      </c>
      <c r="G25" s="2" t="s">
        <v>62</v>
      </c>
      <c r="H25" s="3">
        <v>6</v>
      </c>
      <c r="I25" s="3" t="s">
        <v>13</v>
      </c>
      <c r="J25" s="23">
        <v>3750</v>
      </c>
      <c r="K25" s="22">
        <v>4500</v>
      </c>
      <c r="L25" s="22">
        <f t="shared" si="0"/>
        <v>22500</v>
      </c>
      <c r="M25" s="40">
        <f t="shared" si="1"/>
        <v>27000</v>
      </c>
      <c r="N25" s="19"/>
    </row>
    <row r="26" spans="1:14">
      <c r="A26" s="3">
        <v>25</v>
      </c>
      <c r="B26" s="4"/>
      <c r="C26" s="4"/>
      <c r="D26" s="36" t="s">
        <v>91</v>
      </c>
      <c r="E26" s="4"/>
      <c r="F26" s="4"/>
      <c r="G26" s="4"/>
      <c r="H26" s="3">
        <v>1</v>
      </c>
      <c r="I26" s="3" t="s">
        <v>63</v>
      </c>
      <c r="J26" s="23">
        <v>585</v>
      </c>
      <c r="K26" s="22">
        <v>463</v>
      </c>
      <c r="L26" s="22">
        <f t="shared" si="0"/>
        <v>585</v>
      </c>
      <c r="M26" s="40">
        <f t="shared" si="1"/>
        <v>463</v>
      </c>
      <c r="N26" s="19"/>
    </row>
    <row r="27" spans="1:14" ht="29.25">
      <c r="A27" s="3">
        <v>26</v>
      </c>
      <c r="B27" s="4"/>
      <c r="C27" s="4"/>
      <c r="D27" s="36" t="s">
        <v>92</v>
      </c>
      <c r="E27" s="2" t="s">
        <v>64</v>
      </c>
      <c r="F27" s="2" t="s">
        <v>65</v>
      </c>
      <c r="G27" s="4"/>
      <c r="H27" s="3">
        <v>20</v>
      </c>
      <c r="I27" s="3" t="s">
        <v>63</v>
      </c>
      <c r="J27" s="23">
        <v>1260</v>
      </c>
      <c r="K27" s="22">
        <v>1680</v>
      </c>
      <c r="L27" s="22">
        <f t="shared" si="0"/>
        <v>25200</v>
      </c>
      <c r="M27" s="40">
        <f t="shared" si="1"/>
        <v>33600</v>
      </c>
      <c r="N27" s="19"/>
    </row>
    <row r="28" spans="1:14" ht="29.25">
      <c r="A28" s="3">
        <v>27</v>
      </c>
      <c r="B28" s="4"/>
      <c r="C28" s="4"/>
      <c r="D28" s="36" t="s">
        <v>66</v>
      </c>
      <c r="E28" s="2" t="s">
        <v>67</v>
      </c>
      <c r="F28" s="2" t="s">
        <v>68</v>
      </c>
      <c r="G28" s="4"/>
      <c r="H28" s="3">
        <v>20</v>
      </c>
      <c r="I28" s="3" t="s">
        <v>63</v>
      </c>
      <c r="J28" s="23">
        <v>1170</v>
      </c>
      <c r="K28" s="22">
        <v>847</v>
      </c>
      <c r="L28" s="22">
        <f t="shared" si="0"/>
        <v>23400</v>
      </c>
      <c r="M28" s="40">
        <f t="shared" si="1"/>
        <v>16940</v>
      </c>
      <c r="N28" s="19"/>
    </row>
    <row r="29" spans="1:14" ht="29.25">
      <c r="A29" s="3">
        <v>28</v>
      </c>
      <c r="B29" s="4"/>
      <c r="C29" s="4"/>
      <c r="D29" s="36" t="s">
        <v>69</v>
      </c>
      <c r="E29" s="2" t="s">
        <v>70</v>
      </c>
      <c r="F29" s="2" t="s">
        <v>70</v>
      </c>
      <c r="G29" s="4"/>
      <c r="H29" s="3">
        <v>50</v>
      </c>
      <c r="I29" s="3" t="s">
        <v>63</v>
      </c>
      <c r="J29" s="23">
        <v>1250</v>
      </c>
      <c r="K29" s="22">
        <v>830</v>
      </c>
      <c r="L29" s="22">
        <f t="shared" si="0"/>
        <v>62500</v>
      </c>
      <c r="M29" s="40">
        <f t="shared" si="1"/>
        <v>41500</v>
      </c>
      <c r="N29" s="19"/>
    </row>
    <row r="30" spans="1:14">
      <c r="A30" s="3">
        <v>29</v>
      </c>
      <c r="B30" s="4"/>
      <c r="C30" s="4"/>
      <c r="D30" s="36" t="s">
        <v>108</v>
      </c>
      <c r="E30" s="2" t="s">
        <v>71</v>
      </c>
      <c r="F30" s="2" t="s">
        <v>72</v>
      </c>
      <c r="G30" s="2" t="s">
        <v>72</v>
      </c>
      <c r="H30" s="3">
        <v>20</v>
      </c>
      <c r="I30" s="3" t="s">
        <v>63</v>
      </c>
      <c r="J30" s="23">
        <v>920</v>
      </c>
      <c r="K30" s="22">
        <v>7200</v>
      </c>
      <c r="L30" s="22">
        <f t="shared" si="0"/>
        <v>18400</v>
      </c>
      <c r="M30" s="40">
        <f t="shared" si="1"/>
        <v>144000</v>
      </c>
      <c r="N30" s="19"/>
    </row>
    <row r="31" spans="1:14">
      <c r="A31" s="3">
        <v>30</v>
      </c>
      <c r="B31" s="4"/>
      <c r="C31" s="4"/>
      <c r="D31" s="36" t="s">
        <v>93</v>
      </c>
      <c r="E31" s="4"/>
      <c r="F31" s="4"/>
      <c r="G31" s="4"/>
      <c r="H31" s="5">
        <v>0.5</v>
      </c>
      <c r="I31" s="3" t="s">
        <v>63</v>
      </c>
      <c r="J31" s="23">
        <v>11320</v>
      </c>
      <c r="K31" s="22">
        <v>1950</v>
      </c>
      <c r="L31" s="22">
        <f t="shared" si="0"/>
        <v>5660</v>
      </c>
      <c r="M31" s="40">
        <f t="shared" si="1"/>
        <v>975</v>
      </c>
      <c r="N31" s="19"/>
    </row>
    <row r="32" spans="1:14" ht="29.25">
      <c r="A32" s="3">
        <v>31</v>
      </c>
      <c r="B32" s="2" t="s">
        <v>73</v>
      </c>
      <c r="C32" s="2"/>
      <c r="D32" s="36" t="s">
        <v>94</v>
      </c>
      <c r="E32" s="2" t="s">
        <v>74</v>
      </c>
      <c r="F32" s="36" t="s">
        <v>75</v>
      </c>
      <c r="G32" s="2" t="s">
        <v>76</v>
      </c>
      <c r="H32" s="3">
        <v>1</v>
      </c>
      <c r="I32" s="3" t="s">
        <v>13</v>
      </c>
      <c r="J32" s="21">
        <v>32450</v>
      </c>
      <c r="K32" s="22">
        <v>21200</v>
      </c>
      <c r="L32" s="22">
        <f t="shared" si="0"/>
        <v>32450</v>
      </c>
      <c r="M32" s="40">
        <f t="shared" si="1"/>
        <v>21200</v>
      </c>
      <c r="N32" s="19"/>
    </row>
    <row r="33" spans="1:14">
      <c r="A33" s="3">
        <v>32</v>
      </c>
      <c r="B33" s="2" t="s">
        <v>73</v>
      </c>
      <c r="C33" s="2"/>
      <c r="D33" s="36" t="s">
        <v>95</v>
      </c>
      <c r="E33" s="2" t="s">
        <v>77</v>
      </c>
      <c r="F33" s="36" t="s">
        <v>78</v>
      </c>
      <c r="G33" s="2" t="s">
        <v>79</v>
      </c>
      <c r="H33" s="3">
        <v>8</v>
      </c>
      <c r="I33" s="3" t="s">
        <v>13</v>
      </c>
      <c r="J33" s="41">
        <v>2700</v>
      </c>
      <c r="K33" s="22">
        <v>896</v>
      </c>
      <c r="L33" s="22">
        <f t="shared" si="0"/>
        <v>21600</v>
      </c>
      <c r="M33" s="40">
        <f t="shared" si="1"/>
        <v>7168</v>
      </c>
      <c r="N33" s="19"/>
    </row>
    <row r="34" spans="1:14">
      <c r="A34" s="3">
        <v>33</v>
      </c>
      <c r="B34" s="2" t="s">
        <v>73</v>
      </c>
      <c r="C34" s="4"/>
      <c r="D34" s="36" t="s">
        <v>81</v>
      </c>
      <c r="E34" s="4"/>
      <c r="F34" s="38" t="s">
        <v>33</v>
      </c>
      <c r="G34" s="2" t="s">
        <v>34</v>
      </c>
      <c r="H34" s="3">
        <v>1</v>
      </c>
      <c r="I34" s="3" t="s">
        <v>13</v>
      </c>
      <c r="J34" s="23">
        <v>7500</v>
      </c>
      <c r="K34" s="22">
        <v>17500</v>
      </c>
      <c r="L34" s="22">
        <f t="shared" si="0"/>
        <v>7500</v>
      </c>
      <c r="M34" s="40">
        <f t="shared" si="1"/>
        <v>17500</v>
      </c>
      <c r="N34" s="19"/>
    </row>
    <row r="35" spans="1:14">
      <c r="A35" s="3">
        <v>34</v>
      </c>
      <c r="B35" s="2" t="s">
        <v>73</v>
      </c>
      <c r="C35" s="4"/>
      <c r="D35" s="36" t="s">
        <v>80</v>
      </c>
      <c r="E35" s="4"/>
      <c r="F35" s="38" t="s">
        <v>38</v>
      </c>
      <c r="G35" s="2" t="s">
        <v>39</v>
      </c>
      <c r="H35" s="3">
        <v>1</v>
      </c>
      <c r="I35" s="3" t="s">
        <v>13</v>
      </c>
      <c r="J35" s="23">
        <v>4150</v>
      </c>
      <c r="K35" s="22">
        <v>450</v>
      </c>
      <c r="L35" s="22">
        <f t="shared" si="0"/>
        <v>4150</v>
      </c>
      <c r="M35" s="40">
        <f t="shared" si="1"/>
        <v>450</v>
      </c>
      <c r="N35" s="19"/>
    </row>
    <row r="36" spans="1:14" ht="15.75">
      <c r="A36" s="27"/>
      <c r="B36" s="2"/>
      <c r="C36" s="4"/>
      <c r="D36" s="37" t="s">
        <v>110</v>
      </c>
      <c r="E36" s="4"/>
      <c r="F36" s="38"/>
      <c r="G36" s="2"/>
      <c r="H36" s="3">
        <v>1</v>
      </c>
      <c r="I36" s="3" t="s">
        <v>111</v>
      </c>
      <c r="J36" s="23">
        <v>0</v>
      </c>
      <c r="K36" s="22">
        <v>25000</v>
      </c>
      <c r="L36" s="22">
        <f t="shared" si="0"/>
        <v>0</v>
      </c>
      <c r="M36" s="40">
        <f t="shared" si="1"/>
        <v>25000</v>
      </c>
      <c r="N36" s="19"/>
    </row>
    <row r="37" spans="1:14">
      <c r="A37" s="27"/>
      <c r="B37" s="2"/>
      <c r="C37" s="4"/>
      <c r="D37" s="36" t="s">
        <v>112</v>
      </c>
      <c r="E37" s="4"/>
      <c r="F37" s="6"/>
      <c r="G37" s="2"/>
      <c r="H37" s="3">
        <v>1</v>
      </c>
      <c r="I37" s="3" t="s">
        <v>111</v>
      </c>
      <c r="J37" s="23">
        <v>15000</v>
      </c>
      <c r="K37" s="22">
        <v>21500</v>
      </c>
      <c r="L37" s="22">
        <f t="shared" si="0"/>
        <v>15000</v>
      </c>
      <c r="M37" s="40">
        <f t="shared" si="1"/>
        <v>21500</v>
      </c>
      <c r="N37" s="19"/>
    </row>
    <row r="38" spans="1:14">
      <c r="A38" s="27"/>
      <c r="B38" s="28"/>
      <c r="D38" s="29"/>
      <c r="F38" s="30"/>
      <c r="G38" s="28"/>
      <c r="H38" s="27"/>
      <c r="I38" s="27"/>
      <c r="J38" s="31"/>
      <c r="M38" s="32"/>
      <c r="N38" s="19"/>
    </row>
    <row r="40" spans="1:14">
      <c r="J40" s="24"/>
      <c r="K40" s="24"/>
      <c r="L40" s="24">
        <f>SUM(L3:L39)</f>
        <v>647705</v>
      </c>
      <c r="M40" s="24">
        <f>SUM(M3:M39)</f>
        <v>786385</v>
      </c>
      <c r="N40" s="19"/>
    </row>
    <row r="42" spans="1:14" ht="15.75">
      <c r="G42" s="33" t="s">
        <v>113</v>
      </c>
      <c r="L42" s="247">
        <f>SUM(L40:M40)</f>
        <v>1434090</v>
      </c>
      <c r="M42" s="247"/>
    </row>
  </sheetData>
  <mergeCells count="2">
    <mergeCell ref="A2:M2"/>
    <mergeCell ref="L42:M4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5"/>
  <sheetViews>
    <sheetView workbookViewId="0">
      <selection activeCell="I8" sqref="I8:J8"/>
    </sheetView>
  </sheetViews>
  <sheetFormatPr defaultRowHeight="15"/>
  <cols>
    <col min="11" max="11" width="11" bestFit="1" customWidth="1"/>
  </cols>
  <sheetData>
    <row r="1" spans="1:11" ht="15.75">
      <c r="A1" s="234"/>
      <c r="B1" s="234"/>
      <c r="C1" s="234"/>
      <c r="D1" s="234"/>
      <c r="E1" s="234"/>
      <c r="F1" s="234"/>
      <c r="G1" s="234"/>
      <c r="H1" s="234"/>
      <c r="I1" s="234"/>
      <c r="J1" s="234"/>
      <c r="K1" s="234"/>
    </row>
    <row r="2" spans="1:11" ht="15.75" customHeight="1">
      <c r="A2" s="235" t="s">
        <v>116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</row>
    <row r="3" spans="1:11" ht="16.5" thickBot="1">
      <c r="A3" s="236"/>
      <c r="B3" s="236"/>
      <c r="C3" s="236"/>
      <c r="D3" s="236"/>
      <c r="E3" s="236"/>
      <c r="F3" s="236"/>
      <c r="G3" s="236"/>
      <c r="H3" s="236"/>
      <c r="I3" s="236"/>
      <c r="J3" s="236"/>
      <c r="K3" s="236"/>
    </row>
    <row r="4" spans="1:11" ht="32.25" thickBot="1">
      <c r="A4" s="43" t="s">
        <v>117</v>
      </c>
      <c r="B4" s="44"/>
      <c r="C4" s="237" t="s">
        <v>5</v>
      </c>
      <c r="D4" s="238"/>
      <c r="E4" s="45" t="s">
        <v>3</v>
      </c>
      <c r="F4" s="237" t="s">
        <v>118</v>
      </c>
      <c r="G4" s="238"/>
      <c r="H4" s="45" t="s">
        <v>119</v>
      </c>
      <c r="I4" s="45" t="s">
        <v>120</v>
      </c>
      <c r="J4" s="237" t="s">
        <v>121</v>
      </c>
      <c r="K4" s="238"/>
    </row>
    <row r="5" spans="1:11" ht="16.5" thickBot="1">
      <c r="A5" s="43"/>
      <c r="B5" s="44"/>
      <c r="C5" s="237"/>
      <c r="D5" s="238"/>
      <c r="E5" s="45"/>
      <c r="F5" s="237"/>
      <c r="G5" s="238"/>
      <c r="H5" s="45"/>
      <c r="I5" s="45"/>
      <c r="J5" s="237"/>
      <c r="K5" s="238"/>
    </row>
    <row r="6" spans="1:11" ht="31.5" customHeight="1" thickBot="1">
      <c r="A6" s="46"/>
      <c r="B6" s="47"/>
      <c r="C6" s="237" t="s">
        <v>122</v>
      </c>
      <c r="D6" s="161"/>
      <c r="E6" s="161"/>
      <c r="F6" s="161"/>
      <c r="G6" s="161"/>
      <c r="H6" s="161"/>
      <c r="I6" s="161"/>
      <c r="J6" s="161"/>
      <c r="K6" s="238"/>
    </row>
    <row r="7" spans="1:11" ht="16.5" thickBot="1">
      <c r="A7" s="46"/>
      <c r="B7" s="47"/>
      <c r="C7" s="241"/>
      <c r="D7" s="242"/>
      <c r="E7" s="242"/>
      <c r="F7" s="242"/>
      <c r="G7" s="242"/>
      <c r="H7" s="242"/>
      <c r="I7" s="242"/>
      <c r="J7" s="242"/>
      <c r="K7" s="243"/>
    </row>
    <row r="8" spans="1:11" ht="45" customHeight="1" thickBot="1">
      <c r="A8" s="46">
        <v>5</v>
      </c>
      <c r="B8" s="47" t="s">
        <v>63</v>
      </c>
      <c r="C8" s="48"/>
      <c r="D8" s="162" t="s">
        <v>123</v>
      </c>
      <c r="E8" s="163"/>
      <c r="F8" s="164"/>
      <c r="G8" s="49">
        <v>485</v>
      </c>
      <c r="H8" s="50">
        <v>5530</v>
      </c>
      <c r="I8" s="140">
        <v>2425</v>
      </c>
      <c r="J8" s="141"/>
      <c r="K8" s="51" t="s">
        <v>124</v>
      </c>
    </row>
    <row r="9" spans="1:11" ht="32.25" thickBot="1">
      <c r="A9" s="46">
        <v>20</v>
      </c>
      <c r="B9" s="47" t="s">
        <v>63</v>
      </c>
      <c r="C9" s="52" t="s">
        <v>125</v>
      </c>
      <c r="D9" s="162" t="s">
        <v>72</v>
      </c>
      <c r="E9" s="163"/>
      <c r="F9" s="164"/>
      <c r="G9" s="53" t="s">
        <v>126</v>
      </c>
      <c r="H9" s="50">
        <v>1210</v>
      </c>
      <c r="I9" s="270" t="s">
        <v>127</v>
      </c>
      <c r="J9" s="271"/>
      <c r="K9" s="51" t="s">
        <v>128</v>
      </c>
    </row>
    <row r="10" spans="1:11" ht="16.5" thickBot="1">
      <c r="A10" s="46">
        <v>0.5</v>
      </c>
      <c r="B10" s="47" t="s">
        <v>63</v>
      </c>
      <c r="C10" s="48"/>
      <c r="D10" s="162" t="s">
        <v>129</v>
      </c>
      <c r="E10" s="163"/>
      <c r="F10" s="164"/>
      <c r="G10" s="53" t="s">
        <v>130</v>
      </c>
      <c r="H10" s="50">
        <v>6010</v>
      </c>
      <c r="I10" s="270" t="s">
        <v>131</v>
      </c>
      <c r="J10" s="271"/>
      <c r="K10" s="51" t="s">
        <v>132</v>
      </c>
    </row>
    <row r="11" spans="1:11" ht="32.25" thickBot="1">
      <c r="A11" s="46">
        <v>20</v>
      </c>
      <c r="B11" s="47" t="s">
        <v>63</v>
      </c>
      <c r="C11" s="52" t="s">
        <v>133</v>
      </c>
      <c r="D11" s="162" t="s">
        <v>134</v>
      </c>
      <c r="E11" s="163"/>
      <c r="F11" s="164"/>
      <c r="G11" s="49">
        <v>1115</v>
      </c>
      <c r="H11" s="50">
        <v>760</v>
      </c>
      <c r="I11" s="270" t="s">
        <v>135</v>
      </c>
      <c r="J11" s="271"/>
      <c r="K11" s="51" t="s">
        <v>136</v>
      </c>
    </row>
    <row r="12" spans="1:11" ht="30" customHeight="1">
      <c r="A12" s="217">
        <v>1</v>
      </c>
      <c r="B12" s="219" t="s">
        <v>13</v>
      </c>
      <c r="C12" s="280" t="s">
        <v>137</v>
      </c>
      <c r="D12" s="208" t="s">
        <v>138</v>
      </c>
      <c r="E12" s="209"/>
      <c r="F12" s="210"/>
      <c r="G12" s="226" t="s">
        <v>140</v>
      </c>
      <c r="H12" s="228">
        <v>21800</v>
      </c>
      <c r="I12" s="283" t="s">
        <v>140</v>
      </c>
      <c r="J12" s="284"/>
      <c r="K12" s="278">
        <v>21800</v>
      </c>
    </row>
    <row r="13" spans="1:11" ht="30" customHeight="1" thickBot="1">
      <c r="A13" s="218"/>
      <c r="B13" s="220"/>
      <c r="C13" s="281"/>
      <c r="D13" s="223" t="s">
        <v>139</v>
      </c>
      <c r="E13" s="224"/>
      <c r="F13" s="225"/>
      <c r="G13" s="282"/>
      <c r="H13" s="229"/>
      <c r="I13" s="285"/>
      <c r="J13" s="286"/>
      <c r="K13" s="279"/>
    </row>
    <row r="14" spans="1:11" ht="30" customHeight="1" thickBot="1">
      <c r="A14" s="46">
        <v>2</v>
      </c>
      <c r="B14" s="47" t="s">
        <v>13</v>
      </c>
      <c r="C14" s="52" t="s">
        <v>141</v>
      </c>
      <c r="D14" s="162" t="s">
        <v>142</v>
      </c>
      <c r="E14" s="163"/>
      <c r="F14" s="164"/>
      <c r="G14" s="54" t="s">
        <v>143</v>
      </c>
      <c r="H14" s="50">
        <v>16880</v>
      </c>
      <c r="I14" s="270" t="s">
        <v>144</v>
      </c>
      <c r="J14" s="271"/>
      <c r="K14" s="51" t="s">
        <v>145</v>
      </c>
    </row>
    <row r="15" spans="1:11" ht="31.5" customHeight="1" thickBot="1">
      <c r="A15" s="46">
        <v>1</v>
      </c>
      <c r="B15" s="47" t="s">
        <v>13</v>
      </c>
      <c r="C15" s="48"/>
      <c r="D15" s="174" t="s">
        <v>146</v>
      </c>
      <c r="E15" s="175"/>
      <c r="F15" s="176"/>
      <c r="G15" s="54" t="s">
        <v>147</v>
      </c>
      <c r="H15" s="54" t="s">
        <v>148</v>
      </c>
      <c r="I15" s="256" t="s">
        <v>147</v>
      </c>
      <c r="J15" s="257"/>
      <c r="K15" s="51" t="s">
        <v>148</v>
      </c>
    </row>
    <row r="16" spans="1:11" ht="30" customHeight="1" thickBot="1">
      <c r="A16" s="46">
        <v>20</v>
      </c>
      <c r="B16" s="47" t="s">
        <v>63</v>
      </c>
      <c r="C16" s="52" t="s">
        <v>149</v>
      </c>
      <c r="D16" s="211" t="s">
        <v>150</v>
      </c>
      <c r="E16" s="212"/>
      <c r="F16" s="213"/>
      <c r="G16" s="50">
        <v>850</v>
      </c>
      <c r="H16" s="54" t="s">
        <v>151</v>
      </c>
      <c r="I16" s="270" t="s">
        <v>152</v>
      </c>
      <c r="J16" s="271"/>
      <c r="K16" s="51" t="s">
        <v>153</v>
      </c>
    </row>
    <row r="17" spans="1:11" ht="47.25" customHeight="1" thickBot="1">
      <c r="A17" s="46">
        <v>20</v>
      </c>
      <c r="B17" s="47" t="s">
        <v>13</v>
      </c>
      <c r="C17" s="52" t="s">
        <v>149</v>
      </c>
      <c r="D17" s="197" t="s">
        <v>154</v>
      </c>
      <c r="E17" s="198"/>
      <c r="F17" s="199"/>
      <c r="G17" s="50">
        <v>2180</v>
      </c>
      <c r="H17" s="50">
        <v>4950</v>
      </c>
      <c r="I17" s="270" t="s">
        <v>155</v>
      </c>
      <c r="J17" s="271"/>
      <c r="K17" s="55">
        <v>99000</v>
      </c>
    </row>
    <row r="18" spans="1:11" ht="47.25" customHeight="1" thickBot="1">
      <c r="A18" s="56">
        <v>12</v>
      </c>
      <c r="B18" s="57" t="s">
        <v>13</v>
      </c>
      <c r="C18" s="58"/>
      <c r="D18" s="168" t="s">
        <v>156</v>
      </c>
      <c r="E18" s="169"/>
      <c r="F18" s="170"/>
      <c r="G18" s="59">
        <v>0</v>
      </c>
      <c r="H18" s="60" t="s">
        <v>157</v>
      </c>
      <c r="I18" s="250" t="s">
        <v>147</v>
      </c>
      <c r="J18" s="251"/>
      <c r="K18" s="61">
        <v>25680</v>
      </c>
    </row>
    <row r="19" spans="1:11" ht="31.5" customHeight="1" thickBot="1">
      <c r="A19" s="62">
        <v>12</v>
      </c>
      <c r="B19" s="63" t="s">
        <v>13</v>
      </c>
      <c r="C19" s="64"/>
      <c r="D19" s="152" t="s">
        <v>158</v>
      </c>
      <c r="E19" s="153"/>
      <c r="F19" s="154"/>
      <c r="G19" s="65" t="s">
        <v>159</v>
      </c>
      <c r="H19" s="65" t="s">
        <v>160</v>
      </c>
      <c r="I19" s="252">
        <v>12000</v>
      </c>
      <c r="J19" s="253"/>
      <c r="K19" s="66">
        <v>52800</v>
      </c>
    </row>
    <row r="20" spans="1:11" ht="31.5" customHeight="1" thickBot="1">
      <c r="A20" s="62">
        <v>2</v>
      </c>
      <c r="B20" s="63" t="s">
        <v>13</v>
      </c>
      <c r="C20" s="64" t="s">
        <v>149</v>
      </c>
      <c r="D20" s="152" t="s">
        <v>161</v>
      </c>
      <c r="E20" s="153"/>
      <c r="F20" s="154"/>
      <c r="G20" s="65" t="s">
        <v>162</v>
      </c>
      <c r="H20" s="65" t="s">
        <v>163</v>
      </c>
      <c r="I20" s="252">
        <v>11400</v>
      </c>
      <c r="J20" s="253"/>
      <c r="K20" s="67" t="s">
        <v>164</v>
      </c>
    </row>
    <row r="21" spans="1:11" ht="15" customHeight="1">
      <c r="A21" s="272">
        <v>1</v>
      </c>
      <c r="B21" s="274" t="s">
        <v>13</v>
      </c>
      <c r="C21" s="276" t="s">
        <v>165</v>
      </c>
      <c r="D21" s="155" t="s">
        <v>166</v>
      </c>
      <c r="E21" s="156"/>
      <c r="F21" s="157"/>
      <c r="G21" s="264" t="s">
        <v>168</v>
      </c>
      <c r="H21" s="264" t="s">
        <v>169</v>
      </c>
      <c r="I21" s="266">
        <v>20950</v>
      </c>
      <c r="J21" s="267"/>
      <c r="K21" s="262">
        <v>8335</v>
      </c>
    </row>
    <row r="22" spans="1:11" ht="30" customHeight="1" thickBot="1">
      <c r="A22" s="273"/>
      <c r="B22" s="275"/>
      <c r="C22" s="277"/>
      <c r="D22" s="158" t="s">
        <v>167</v>
      </c>
      <c r="E22" s="159"/>
      <c r="F22" s="160"/>
      <c r="G22" s="265"/>
      <c r="H22" s="265"/>
      <c r="I22" s="268"/>
      <c r="J22" s="269"/>
      <c r="K22" s="263"/>
    </row>
    <row r="23" spans="1:11" ht="30" customHeight="1" thickBot="1">
      <c r="A23" s="62">
        <v>1</v>
      </c>
      <c r="B23" s="63" t="s">
        <v>42</v>
      </c>
      <c r="C23" s="64" t="s">
        <v>170</v>
      </c>
      <c r="D23" s="165" t="s">
        <v>83</v>
      </c>
      <c r="E23" s="166"/>
      <c r="F23" s="167"/>
      <c r="G23" s="65" t="s">
        <v>171</v>
      </c>
      <c r="H23" s="65" t="s">
        <v>172</v>
      </c>
      <c r="I23" s="252">
        <v>3200</v>
      </c>
      <c r="J23" s="253"/>
      <c r="K23" s="66">
        <v>6400</v>
      </c>
    </row>
    <row r="24" spans="1:11" ht="45" customHeight="1" thickBot="1">
      <c r="A24" s="62">
        <v>1</v>
      </c>
      <c r="B24" s="63" t="s">
        <v>111</v>
      </c>
      <c r="C24" s="64" t="s">
        <v>173</v>
      </c>
      <c r="D24" s="165" t="s">
        <v>174</v>
      </c>
      <c r="E24" s="166"/>
      <c r="F24" s="167"/>
      <c r="G24" s="68">
        <v>141100</v>
      </c>
      <c r="H24" s="65" t="s">
        <v>175</v>
      </c>
      <c r="I24" s="252">
        <v>141100</v>
      </c>
      <c r="J24" s="253"/>
      <c r="K24" s="66">
        <v>37430</v>
      </c>
    </row>
    <row r="25" spans="1:11" ht="31.5" customHeight="1" thickBot="1">
      <c r="A25" s="62">
        <v>1</v>
      </c>
      <c r="B25" s="63" t="s">
        <v>42</v>
      </c>
      <c r="C25" s="69"/>
      <c r="D25" s="152" t="s">
        <v>176</v>
      </c>
      <c r="E25" s="153"/>
      <c r="F25" s="154"/>
      <c r="G25" s="68">
        <v>4950</v>
      </c>
      <c r="H25" s="65" t="s">
        <v>177</v>
      </c>
      <c r="I25" s="252">
        <v>4950</v>
      </c>
      <c r="J25" s="253"/>
      <c r="K25" s="66">
        <v>2380</v>
      </c>
    </row>
    <row r="26" spans="1:11" ht="26.25" thickBot="1">
      <c r="A26" s="62">
        <v>1</v>
      </c>
      <c r="B26" s="63" t="s">
        <v>13</v>
      </c>
      <c r="C26" s="70" t="s">
        <v>178</v>
      </c>
      <c r="D26" s="165" t="s">
        <v>179</v>
      </c>
      <c r="E26" s="166"/>
      <c r="F26" s="167"/>
      <c r="G26" s="65" t="s">
        <v>180</v>
      </c>
      <c r="H26" s="68">
        <v>4610</v>
      </c>
      <c r="I26" s="260" t="s">
        <v>180</v>
      </c>
      <c r="J26" s="261"/>
      <c r="K26" s="67" t="s">
        <v>181</v>
      </c>
    </row>
    <row r="27" spans="1:11" ht="47.25" customHeight="1" thickBot="1">
      <c r="A27" s="62">
        <v>10</v>
      </c>
      <c r="B27" s="63" t="s">
        <v>13</v>
      </c>
      <c r="C27" s="64"/>
      <c r="D27" s="152" t="s">
        <v>182</v>
      </c>
      <c r="E27" s="153"/>
      <c r="F27" s="154"/>
      <c r="G27" s="68">
        <v>830</v>
      </c>
      <c r="H27" s="68">
        <v>580</v>
      </c>
      <c r="I27" s="252">
        <v>8300</v>
      </c>
      <c r="J27" s="253"/>
      <c r="K27" s="66">
        <v>5800</v>
      </c>
    </row>
    <row r="28" spans="1:11" ht="16.5" thickBot="1">
      <c r="A28" s="62">
        <v>2</v>
      </c>
      <c r="B28" s="63" t="s">
        <v>111</v>
      </c>
      <c r="C28" s="64"/>
      <c r="D28" s="152" t="s">
        <v>183</v>
      </c>
      <c r="E28" s="153"/>
      <c r="F28" s="154"/>
      <c r="G28" s="65" t="s">
        <v>184</v>
      </c>
      <c r="H28" s="65" t="s">
        <v>185</v>
      </c>
      <c r="I28" s="252">
        <v>4860</v>
      </c>
      <c r="J28" s="253"/>
      <c r="K28" s="66">
        <v>14600</v>
      </c>
    </row>
    <row r="29" spans="1:11" ht="47.25" customHeight="1" thickBot="1">
      <c r="A29" s="62">
        <v>2</v>
      </c>
      <c r="B29" s="63" t="s">
        <v>111</v>
      </c>
      <c r="C29" s="69"/>
      <c r="D29" s="152" t="s">
        <v>186</v>
      </c>
      <c r="E29" s="153"/>
      <c r="F29" s="154"/>
      <c r="G29" s="71">
        <v>2400</v>
      </c>
      <c r="H29" s="68">
        <v>8300</v>
      </c>
      <c r="I29" s="252">
        <v>4950</v>
      </c>
      <c r="J29" s="253"/>
      <c r="K29" s="66">
        <v>16600</v>
      </c>
    </row>
    <row r="30" spans="1:11" ht="16.5" thickBot="1">
      <c r="A30" s="46">
        <v>50</v>
      </c>
      <c r="B30" s="47" t="s">
        <v>63</v>
      </c>
      <c r="C30" s="52" t="s">
        <v>165</v>
      </c>
      <c r="D30" s="200" t="s">
        <v>187</v>
      </c>
      <c r="E30" s="201"/>
      <c r="F30" s="202"/>
      <c r="G30" s="50">
        <v>280</v>
      </c>
      <c r="H30" s="50">
        <v>630</v>
      </c>
      <c r="I30" s="258" t="s">
        <v>188</v>
      </c>
      <c r="J30" s="259"/>
      <c r="K30" s="55">
        <v>31500</v>
      </c>
    </row>
    <row r="31" spans="1:11" ht="31.5" customHeight="1" thickBot="1">
      <c r="A31" s="46">
        <v>1</v>
      </c>
      <c r="B31" s="47" t="s">
        <v>111</v>
      </c>
      <c r="C31" s="52" t="s">
        <v>173</v>
      </c>
      <c r="D31" s="174" t="s">
        <v>189</v>
      </c>
      <c r="E31" s="175"/>
      <c r="F31" s="176"/>
      <c r="G31" s="54" t="s">
        <v>190</v>
      </c>
      <c r="H31" s="54" t="s">
        <v>191</v>
      </c>
      <c r="I31" s="254">
        <v>36400</v>
      </c>
      <c r="J31" s="255"/>
      <c r="K31" s="55">
        <v>24740</v>
      </c>
    </row>
    <row r="32" spans="1:11" ht="16.5" thickBot="1">
      <c r="A32" s="46">
        <v>12</v>
      </c>
      <c r="B32" s="47" t="s">
        <v>13</v>
      </c>
      <c r="C32" s="52" t="s">
        <v>165</v>
      </c>
      <c r="D32" s="197" t="s">
        <v>192</v>
      </c>
      <c r="E32" s="198"/>
      <c r="F32" s="199"/>
      <c r="G32" s="72">
        <v>3640</v>
      </c>
      <c r="H32" s="72">
        <v>1455</v>
      </c>
      <c r="I32" s="254">
        <v>43680</v>
      </c>
      <c r="J32" s="255"/>
      <c r="K32" s="55">
        <v>17460</v>
      </c>
    </row>
    <row r="33" spans="1:15" ht="16.5" thickBot="1">
      <c r="A33" s="46">
        <v>1</v>
      </c>
      <c r="B33" s="47" t="s">
        <v>111</v>
      </c>
      <c r="C33" s="52"/>
      <c r="D33" s="174" t="s">
        <v>193</v>
      </c>
      <c r="E33" s="175"/>
      <c r="F33" s="176"/>
      <c r="G33" s="72">
        <v>9700</v>
      </c>
      <c r="H33" s="72">
        <v>4850</v>
      </c>
      <c r="I33" s="254">
        <v>9700</v>
      </c>
      <c r="J33" s="255"/>
      <c r="K33" s="55">
        <v>4850</v>
      </c>
    </row>
    <row r="34" spans="1:15" ht="47.25" customHeight="1" thickBot="1">
      <c r="A34" s="46">
        <v>24</v>
      </c>
      <c r="B34" s="47" t="s">
        <v>13</v>
      </c>
      <c r="C34" s="52"/>
      <c r="D34" s="174" t="s">
        <v>182</v>
      </c>
      <c r="E34" s="175"/>
      <c r="F34" s="176"/>
      <c r="G34" s="54">
        <v>830</v>
      </c>
      <c r="H34" s="54">
        <v>580</v>
      </c>
      <c r="I34" s="254">
        <v>19920</v>
      </c>
      <c r="J34" s="255"/>
      <c r="K34" s="55">
        <v>13920</v>
      </c>
    </row>
    <row r="35" spans="1:15" ht="31.5" customHeight="1" thickBot="1">
      <c r="A35" s="46">
        <v>1</v>
      </c>
      <c r="B35" s="47" t="s">
        <v>111</v>
      </c>
      <c r="C35" s="52"/>
      <c r="D35" s="174" t="s">
        <v>194</v>
      </c>
      <c r="E35" s="175"/>
      <c r="F35" s="176"/>
      <c r="G35" s="72">
        <v>1940</v>
      </c>
      <c r="H35" s="72">
        <v>9700</v>
      </c>
      <c r="I35" s="254">
        <v>1940</v>
      </c>
      <c r="J35" s="255"/>
      <c r="K35" s="55">
        <v>9700</v>
      </c>
    </row>
    <row r="36" spans="1:15" ht="16.5" thickBot="1">
      <c r="A36" s="46">
        <v>12</v>
      </c>
      <c r="B36" s="47" t="s">
        <v>13</v>
      </c>
      <c r="C36" s="52"/>
      <c r="D36" s="174" t="s">
        <v>195</v>
      </c>
      <c r="E36" s="175"/>
      <c r="F36" s="176"/>
      <c r="G36" s="54">
        <v>0</v>
      </c>
      <c r="H36" s="72">
        <v>1455</v>
      </c>
      <c r="I36" s="256" t="s">
        <v>196</v>
      </c>
      <c r="J36" s="257"/>
      <c r="K36" s="55">
        <v>17460</v>
      </c>
    </row>
    <row r="37" spans="1:15" ht="16.5" thickBot="1">
      <c r="A37" s="46">
        <v>1</v>
      </c>
      <c r="B37" s="47" t="s">
        <v>111</v>
      </c>
      <c r="C37" s="52"/>
      <c r="D37" s="174" t="s">
        <v>110</v>
      </c>
      <c r="E37" s="175"/>
      <c r="F37" s="176"/>
      <c r="G37" s="54">
        <v>0</v>
      </c>
      <c r="H37" s="72">
        <v>19400</v>
      </c>
      <c r="I37" s="256" t="s">
        <v>196</v>
      </c>
      <c r="J37" s="257"/>
      <c r="K37" s="55">
        <v>19400</v>
      </c>
    </row>
    <row r="38" spans="1:15" ht="16.5" thickBot="1">
      <c r="A38" s="56">
        <v>1</v>
      </c>
      <c r="B38" s="57" t="s">
        <v>111</v>
      </c>
      <c r="C38" s="58"/>
      <c r="D38" s="168" t="s">
        <v>197</v>
      </c>
      <c r="E38" s="169"/>
      <c r="F38" s="170"/>
      <c r="G38" s="60">
        <v>0</v>
      </c>
      <c r="H38" s="73">
        <v>19400</v>
      </c>
      <c r="I38" s="250" t="s">
        <v>198</v>
      </c>
      <c r="J38" s="251"/>
      <c r="K38" s="61">
        <v>19400</v>
      </c>
    </row>
    <row r="39" spans="1:15" ht="31.5" customHeight="1" thickBot="1">
      <c r="A39" s="62">
        <v>1</v>
      </c>
      <c r="B39" s="63"/>
      <c r="C39" s="64"/>
      <c r="D39" s="152" t="s">
        <v>199</v>
      </c>
      <c r="E39" s="153"/>
      <c r="F39" s="154"/>
      <c r="G39" s="74">
        <v>9700</v>
      </c>
      <c r="H39" s="74">
        <v>9700</v>
      </c>
      <c r="I39" s="252">
        <v>9700</v>
      </c>
      <c r="J39" s="253"/>
      <c r="K39" s="66">
        <v>9700</v>
      </c>
    </row>
    <row r="40" spans="1:15" ht="16.5" thickBot="1">
      <c r="A40" s="56"/>
      <c r="B40" s="57"/>
      <c r="C40" s="58"/>
      <c r="D40" s="248"/>
      <c r="E40" s="153"/>
      <c r="F40" s="249"/>
      <c r="G40" s="75"/>
      <c r="H40" s="75"/>
      <c r="I40" s="183">
        <f>SUM(I8:J39)</f>
        <v>335475</v>
      </c>
      <c r="J40" s="184"/>
      <c r="K40" s="76">
        <f>SUM(K8:K39)</f>
        <v>458955</v>
      </c>
    </row>
    <row r="41" spans="1:15" ht="16.5" thickBot="1">
      <c r="A41" s="77"/>
      <c r="B41" s="78"/>
      <c r="C41" s="64"/>
      <c r="D41" s="185" t="s">
        <v>200</v>
      </c>
      <c r="E41" s="186"/>
      <c r="F41" s="187"/>
      <c r="G41" s="79"/>
      <c r="H41" s="79"/>
      <c r="I41" s="188">
        <f>SUM(I40:K40)</f>
        <v>794430</v>
      </c>
      <c r="J41" s="189"/>
      <c r="K41" s="190"/>
    </row>
    <row r="42" spans="1:15" ht="16.5" thickBot="1">
      <c r="A42" s="46"/>
      <c r="B42" s="47"/>
      <c r="C42" s="52"/>
      <c r="D42" s="191" t="s">
        <v>201</v>
      </c>
      <c r="E42" s="192"/>
      <c r="F42" s="193"/>
      <c r="G42" s="80"/>
      <c r="H42" s="80"/>
      <c r="I42" s="194">
        <f>SUM(I41*27%)</f>
        <v>214496.1</v>
      </c>
      <c r="J42" s="195"/>
      <c r="K42" s="196"/>
    </row>
    <row r="43" spans="1:15" ht="16.5" thickBot="1">
      <c r="A43" s="46"/>
      <c r="B43" s="47"/>
      <c r="C43" s="52"/>
      <c r="D43" s="174" t="s">
        <v>202</v>
      </c>
      <c r="E43" s="175"/>
      <c r="F43" s="176"/>
      <c r="G43" s="80"/>
      <c r="H43" s="80"/>
      <c r="I43" s="177">
        <f>SUM(I41:K42)</f>
        <v>1008926.1</v>
      </c>
      <c r="J43" s="178"/>
      <c r="K43" s="179"/>
      <c r="M43" s="177">
        <v>1536040</v>
      </c>
      <c r="N43" s="178"/>
      <c r="O43" s="179"/>
    </row>
    <row r="44" spans="1:15" ht="15.75" thickBot="1"/>
    <row r="45" spans="1:15" ht="15.75" thickBot="1">
      <c r="M45" s="177">
        <v>1489958</v>
      </c>
      <c r="N45" s="178"/>
      <c r="O45" s="179"/>
    </row>
  </sheetData>
  <mergeCells count="95">
    <mergeCell ref="D8:F8"/>
    <mergeCell ref="I8:J8"/>
    <mergeCell ref="A1:K1"/>
    <mergeCell ref="A2:K2"/>
    <mergeCell ref="A3:K3"/>
    <mergeCell ref="C4:D4"/>
    <mergeCell ref="F4:G4"/>
    <mergeCell ref="J4:K4"/>
    <mergeCell ref="C5:D5"/>
    <mergeCell ref="F5:G5"/>
    <mergeCell ref="J5:K5"/>
    <mergeCell ref="C6:K6"/>
    <mergeCell ref="C7:K7"/>
    <mergeCell ref="D9:F9"/>
    <mergeCell ref="I9:J9"/>
    <mergeCell ref="D10:F10"/>
    <mergeCell ref="I10:J10"/>
    <mergeCell ref="D11:F11"/>
    <mergeCell ref="I11:J11"/>
    <mergeCell ref="A12:A13"/>
    <mergeCell ref="B12:B13"/>
    <mergeCell ref="C12:C13"/>
    <mergeCell ref="D12:F12"/>
    <mergeCell ref="D13:F13"/>
    <mergeCell ref="K12:K13"/>
    <mergeCell ref="D14:F14"/>
    <mergeCell ref="I14:J14"/>
    <mergeCell ref="D16:F16"/>
    <mergeCell ref="I16:J16"/>
    <mergeCell ref="D15:F15"/>
    <mergeCell ref="I15:J15"/>
    <mergeCell ref="G12:G13"/>
    <mergeCell ref="H12:H13"/>
    <mergeCell ref="I12:J13"/>
    <mergeCell ref="D17:F17"/>
    <mergeCell ref="I17:J17"/>
    <mergeCell ref="D18:F18"/>
    <mergeCell ref="I18:J18"/>
    <mergeCell ref="A21:A22"/>
    <mergeCell ref="B21:B22"/>
    <mergeCell ref="C21:C22"/>
    <mergeCell ref="D21:F21"/>
    <mergeCell ref="D22:F22"/>
    <mergeCell ref="D19:F19"/>
    <mergeCell ref="I19:J19"/>
    <mergeCell ref="D20:F20"/>
    <mergeCell ref="I20:J20"/>
    <mergeCell ref="G21:G22"/>
    <mergeCell ref="H21:H22"/>
    <mergeCell ref="I21:J22"/>
    <mergeCell ref="K21:K22"/>
    <mergeCell ref="D23:F23"/>
    <mergeCell ref="I23:J23"/>
    <mergeCell ref="D25:F25"/>
    <mergeCell ref="I25:J25"/>
    <mergeCell ref="D24:F24"/>
    <mergeCell ref="I24:J24"/>
    <mergeCell ref="D26:F26"/>
    <mergeCell ref="I26:J26"/>
    <mergeCell ref="D27:F27"/>
    <mergeCell ref="I27:J27"/>
    <mergeCell ref="D28:F28"/>
    <mergeCell ref="I28:J28"/>
    <mergeCell ref="D29:F29"/>
    <mergeCell ref="I29:J29"/>
    <mergeCell ref="D30:F30"/>
    <mergeCell ref="I30:J30"/>
    <mergeCell ref="D31:F31"/>
    <mergeCell ref="I31:J31"/>
    <mergeCell ref="D32:F32"/>
    <mergeCell ref="I32:J32"/>
    <mergeCell ref="D33:F33"/>
    <mergeCell ref="I33:J33"/>
    <mergeCell ref="D34:F34"/>
    <mergeCell ref="I34:J34"/>
    <mergeCell ref="D35:F35"/>
    <mergeCell ref="I35:J35"/>
    <mergeCell ref="D36:F36"/>
    <mergeCell ref="I36:J36"/>
    <mergeCell ref="D37:F37"/>
    <mergeCell ref="I37:J37"/>
    <mergeCell ref="D38:F38"/>
    <mergeCell ref="I38:J38"/>
    <mergeCell ref="D39:F39"/>
    <mergeCell ref="I39:J39"/>
    <mergeCell ref="D43:F43"/>
    <mergeCell ref="I43:K43"/>
    <mergeCell ref="M43:O43"/>
    <mergeCell ref="M45:O45"/>
    <mergeCell ref="D40:F40"/>
    <mergeCell ref="I40:J40"/>
    <mergeCell ref="D41:F41"/>
    <mergeCell ref="I41:K41"/>
    <mergeCell ref="D42:F42"/>
    <mergeCell ref="I42:K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1"/>
  <sheetViews>
    <sheetView tabSelected="1" workbookViewId="0">
      <selection activeCell="O8" sqref="O8"/>
    </sheetView>
  </sheetViews>
  <sheetFormatPr defaultRowHeight="15"/>
  <cols>
    <col min="2" max="2" width="5.85546875" customWidth="1"/>
    <col min="7" max="7" width="8.140625" customWidth="1"/>
    <col min="8" max="8" width="8.28515625" customWidth="1"/>
    <col min="10" max="10" width="9.7109375" bestFit="1" customWidth="1"/>
    <col min="11" max="11" width="11" bestFit="1" customWidth="1"/>
  </cols>
  <sheetData>
    <row r="1" spans="1:11" ht="15.75">
      <c r="A1" s="234"/>
      <c r="B1" s="234"/>
      <c r="C1" s="234"/>
      <c r="D1" s="234"/>
      <c r="E1" s="234"/>
      <c r="F1" s="234"/>
      <c r="G1" s="234"/>
      <c r="H1" s="234"/>
      <c r="I1" s="234"/>
      <c r="J1" s="234"/>
      <c r="K1" s="234"/>
    </row>
    <row r="2" spans="1:11" ht="15.75" customHeight="1">
      <c r="A2" s="235" t="s">
        <v>116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</row>
    <row r="3" spans="1:11" ht="16.5" thickBot="1">
      <c r="A3" s="236"/>
      <c r="B3" s="236"/>
      <c r="C3" s="234"/>
      <c r="D3" s="236"/>
      <c r="E3" s="236"/>
      <c r="F3" s="236"/>
      <c r="G3" s="234"/>
      <c r="H3" s="236"/>
      <c r="I3" s="236"/>
      <c r="J3" s="236"/>
      <c r="K3" s="287"/>
    </row>
    <row r="4" spans="1:11" ht="32.25" thickBot="1">
      <c r="A4" s="43" t="s">
        <v>117</v>
      </c>
      <c r="B4" s="98"/>
      <c r="C4" s="100" t="s">
        <v>5</v>
      </c>
      <c r="D4" s="161" t="s">
        <v>3</v>
      </c>
      <c r="E4" s="161"/>
      <c r="F4" s="161"/>
      <c r="G4" s="99" t="s">
        <v>118</v>
      </c>
      <c r="H4" s="45" t="s">
        <v>119</v>
      </c>
      <c r="I4" s="237" t="s">
        <v>120</v>
      </c>
      <c r="J4" s="161"/>
      <c r="K4" s="99" t="s">
        <v>121</v>
      </c>
    </row>
    <row r="5" spans="1:11" ht="16.5" thickBot="1">
      <c r="A5" s="43"/>
      <c r="B5" s="44"/>
      <c r="C5" s="239"/>
      <c r="D5" s="238"/>
      <c r="E5" s="45"/>
      <c r="F5" s="237"/>
      <c r="G5" s="240"/>
      <c r="H5" s="45"/>
      <c r="I5" s="45"/>
      <c r="J5" s="237"/>
      <c r="K5" s="240"/>
    </row>
    <row r="6" spans="1:11" ht="31.5" customHeight="1" thickBot="1">
      <c r="A6" s="46"/>
      <c r="B6" s="47"/>
      <c r="C6" s="237" t="s">
        <v>122</v>
      </c>
      <c r="D6" s="161"/>
      <c r="E6" s="161"/>
      <c r="F6" s="161"/>
      <c r="G6" s="161"/>
      <c r="H6" s="161"/>
      <c r="I6" s="161"/>
      <c r="J6" s="161"/>
      <c r="K6" s="238"/>
    </row>
    <row r="7" spans="1:11" ht="16.5" thickBot="1">
      <c r="A7" s="46"/>
      <c r="B7" s="47"/>
      <c r="C7" s="241"/>
      <c r="D7" s="242"/>
      <c r="E7" s="242"/>
      <c r="F7" s="242"/>
      <c r="G7" s="242"/>
      <c r="H7" s="242"/>
      <c r="I7" s="242"/>
      <c r="J7" s="242"/>
      <c r="K7" s="243"/>
    </row>
    <row r="8" spans="1:11" ht="45" customHeight="1" thickBot="1">
      <c r="A8" s="46">
        <v>5</v>
      </c>
      <c r="B8" s="47" t="s">
        <v>63</v>
      </c>
      <c r="C8" s="48"/>
      <c r="D8" s="162" t="s">
        <v>123</v>
      </c>
      <c r="E8" s="163"/>
      <c r="F8" s="164"/>
      <c r="G8" s="49">
        <v>590</v>
      </c>
      <c r="H8" s="50">
        <v>0</v>
      </c>
      <c r="I8" s="140">
        <f>SUM(A8*G8)</f>
        <v>2950</v>
      </c>
      <c r="J8" s="141"/>
      <c r="K8" s="55">
        <f t="shared" ref="K8:K15" si="0">SUM(A8*H8)</f>
        <v>0</v>
      </c>
    </row>
    <row r="9" spans="1:11" ht="28.5" customHeight="1" thickBot="1">
      <c r="A9" s="46">
        <v>0.49390000000000001</v>
      </c>
      <c r="B9" s="47" t="s">
        <v>111</v>
      </c>
      <c r="C9" s="48"/>
      <c r="D9" s="162" t="s">
        <v>203</v>
      </c>
      <c r="E9" s="163"/>
      <c r="F9" s="164"/>
      <c r="G9" s="49"/>
      <c r="H9" s="50">
        <v>55760</v>
      </c>
      <c r="I9" s="140"/>
      <c r="J9" s="141"/>
      <c r="K9" s="55">
        <f t="shared" si="0"/>
        <v>27539.864000000001</v>
      </c>
    </row>
    <row r="10" spans="1:11" ht="29.25" thickBot="1">
      <c r="A10" s="46">
        <v>20</v>
      </c>
      <c r="B10" s="47" t="s">
        <v>63</v>
      </c>
      <c r="C10" s="129" t="s">
        <v>125</v>
      </c>
      <c r="D10" s="162" t="s">
        <v>72</v>
      </c>
      <c r="E10" s="163"/>
      <c r="F10" s="164"/>
      <c r="G10" s="53">
        <v>360</v>
      </c>
      <c r="H10" s="50">
        <v>0</v>
      </c>
      <c r="I10" s="140">
        <f>SUM(A10*G10)</f>
        <v>7200</v>
      </c>
      <c r="J10" s="141"/>
      <c r="K10" s="55">
        <f t="shared" si="0"/>
        <v>0</v>
      </c>
    </row>
    <row r="11" spans="1:11" ht="16.5" thickBot="1">
      <c r="A11" s="46">
        <v>0.5</v>
      </c>
      <c r="B11" s="47" t="s">
        <v>63</v>
      </c>
      <c r="C11" s="130"/>
      <c r="D11" s="162" t="s">
        <v>129</v>
      </c>
      <c r="E11" s="163"/>
      <c r="F11" s="164"/>
      <c r="G11" s="53">
        <v>5450</v>
      </c>
      <c r="H11" s="50">
        <v>0</v>
      </c>
      <c r="I11" s="140">
        <f>SUM(A11*G11)</f>
        <v>2725</v>
      </c>
      <c r="J11" s="141"/>
      <c r="K11" s="55">
        <f t="shared" si="0"/>
        <v>0</v>
      </c>
    </row>
    <row r="12" spans="1:11" ht="30" customHeight="1" thickBot="1">
      <c r="A12" s="46">
        <v>0.4829</v>
      </c>
      <c r="B12" s="47"/>
      <c r="C12" s="130"/>
      <c r="D12" s="162" t="s">
        <v>203</v>
      </c>
      <c r="E12" s="163"/>
      <c r="F12" s="164"/>
      <c r="G12" s="53"/>
      <c r="H12" s="50">
        <v>55760</v>
      </c>
      <c r="I12" s="140"/>
      <c r="J12" s="141"/>
      <c r="K12" s="55">
        <f t="shared" si="0"/>
        <v>26926.504000000001</v>
      </c>
    </row>
    <row r="13" spans="1:11" ht="30" customHeight="1" thickBot="1">
      <c r="A13" s="46">
        <v>20</v>
      </c>
      <c r="B13" s="47" t="s">
        <v>63</v>
      </c>
      <c r="C13" s="129" t="s">
        <v>133</v>
      </c>
      <c r="D13" s="162" t="s">
        <v>134</v>
      </c>
      <c r="E13" s="163"/>
      <c r="F13" s="164"/>
      <c r="G13" s="49">
        <v>1100</v>
      </c>
      <c r="H13" s="50">
        <v>0</v>
      </c>
      <c r="I13" s="140">
        <f>SUM(A13*G13)</f>
        <v>22000</v>
      </c>
      <c r="J13" s="141"/>
      <c r="K13" s="55">
        <f t="shared" si="0"/>
        <v>0</v>
      </c>
    </row>
    <row r="14" spans="1:11" ht="30" customHeight="1" thickBot="1">
      <c r="A14" s="46">
        <v>0.27625</v>
      </c>
      <c r="B14" s="102"/>
      <c r="C14" s="131"/>
      <c r="D14" s="162" t="s">
        <v>203</v>
      </c>
      <c r="E14" s="163"/>
      <c r="F14" s="164"/>
      <c r="G14" s="103"/>
      <c r="H14" s="50">
        <v>55760</v>
      </c>
      <c r="I14" s="140"/>
      <c r="J14" s="141"/>
      <c r="K14" s="55">
        <f t="shared" si="0"/>
        <v>15403.699999999999</v>
      </c>
    </row>
    <row r="15" spans="1:11" ht="30" customHeight="1">
      <c r="A15" s="217">
        <v>1</v>
      </c>
      <c r="B15" s="219" t="s">
        <v>13</v>
      </c>
      <c r="C15" s="221" t="s">
        <v>137</v>
      </c>
      <c r="D15" s="208" t="s">
        <v>138</v>
      </c>
      <c r="E15" s="209"/>
      <c r="F15" s="210"/>
      <c r="G15" s="226">
        <v>54400</v>
      </c>
      <c r="H15" s="228">
        <v>0</v>
      </c>
      <c r="I15" s="230">
        <f>SUM(A15*G15)</f>
        <v>54400</v>
      </c>
      <c r="J15" s="231"/>
      <c r="K15" s="206">
        <f t="shared" si="0"/>
        <v>0</v>
      </c>
    </row>
    <row r="16" spans="1:11" ht="30" customHeight="1" thickBot="1">
      <c r="A16" s="218"/>
      <c r="B16" s="220"/>
      <c r="C16" s="222"/>
      <c r="D16" s="223" t="s">
        <v>139</v>
      </c>
      <c r="E16" s="224"/>
      <c r="F16" s="225"/>
      <c r="G16" s="227"/>
      <c r="H16" s="229"/>
      <c r="I16" s="232"/>
      <c r="J16" s="233"/>
      <c r="K16" s="207"/>
    </row>
    <row r="17" spans="1:11" ht="30" customHeight="1" thickBot="1">
      <c r="A17" s="46">
        <v>0.5</v>
      </c>
      <c r="B17" s="47"/>
      <c r="C17" s="129"/>
      <c r="D17" s="162" t="s">
        <v>203</v>
      </c>
      <c r="E17" s="163"/>
      <c r="F17" s="163"/>
      <c r="G17" s="106"/>
      <c r="H17" s="50">
        <v>55760</v>
      </c>
      <c r="I17" s="140"/>
      <c r="J17" s="141"/>
      <c r="K17" s="85">
        <f t="shared" ref="K17:K54" si="1">SUM(A17*H17)</f>
        <v>27880</v>
      </c>
    </row>
    <row r="18" spans="1:11" ht="31.5" customHeight="1" thickBot="1">
      <c r="A18" s="101">
        <v>2</v>
      </c>
      <c r="B18" s="47" t="s">
        <v>13</v>
      </c>
      <c r="C18" s="129" t="s">
        <v>141</v>
      </c>
      <c r="D18" s="208" t="s">
        <v>142</v>
      </c>
      <c r="E18" s="209"/>
      <c r="F18" s="210"/>
      <c r="G18" s="54">
        <v>28700</v>
      </c>
      <c r="H18" s="50">
        <v>17300</v>
      </c>
      <c r="I18" s="140">
        <f>SUM(A18*G18)</f>
        <v>57400</v>
      </c>
      <c r="J18" s="141"/>
      <c r="K18" s="55">
        <f t="shared" si="1"/>
        <v>34600</v>
      </c>
    </row>
    <row r="19" spans="1:11" ht="42.75" customHeight="1" thickBot="1">
      <c r="A19" s="107">
        <v>0.62050000000000005</v>
      </c>
      <c r="B19" s="47"/>
      <c r="C19" s="132"/>
      <c r="D19" s="165" t="s">
        <v>204</v>
      </c>
      <c r="E19" s="166"/>
      <c r="F19" s="167"/>
      <c r="G19" s="54"/>
      <c r="H19" s="50">
        <v>55760</v>
      </c>
      <c r="I19" s="140"/>
      <c r="J19" s="141"/>
      <c r="K19" s="55">
        <f t="shared" si="1"/>
        <v>34599.08</v>
      </c>
    </row>
    <row r="20" spans="1:11" ht="30" customHeight="1" thickBot="1">
      <c r="A20" s="46">
        <v>1</v>
      </c>
      <c r="B20" s="47" t="s">
        <v>13</v>
      </c>
      <c r="C20" s="130"/>
      <c r="D20" s="214" t="s">
        <v>146</v>
      </c>
      <c r="E20" s="215"/>
      <c r="F20" s="216"/>
      <c r="G20" s="50">
        <v>200</v>
      </c>
      <c r="H20" s="50">
        <v>0</v>
      </c>
      <c r="I20" s="140">
        <f>SUM(A20*G20)</f>
        <v>200</v>
      </c>
      <c r="J20" s="141"/>
      <c r="K20" s="55">
        <f t="shared" si="1"/>
        <v>0</v>
      </c>
    </row>
    <row r="21" spans="1:11" ht="47.25" customHeight="1" thickBot="1">
      <c r="A21" s="107">
        <v>0.22720000000000001</v>
      </c>
      <c r="B21" s="47"/>
      <c r="C21" s="132"/>
      <c r="D21" s="165" t="s">
        <v>204</v>
      </c>
      <c r="E21" s="166"/>
      <c r="F21" s="167"/>
      <c r="G21" s="54"/>
      <c r="H21" s="50">
        <v>55760</v>
      </c>
      <c r="I21" s="140"/>
      <c r="J21" s="141"/>
      <c r="K21" s="55">
        <f t="shared" si="1"/>
        <v>12668.672</v>
      </c>
    </row>
    <row r="22" spans="1:11" ht="47.25" customHeight="1" thickBot="1">
      <c r="A22" s="46">
        <v>20</v>
      </c>
      <c r="B22" s="47" t="s">
        <v>63</v>
      </c>
      <c r="C22" s="129" t="s">
        <v>149</v>
      </c>
      <c r="D22" s="211" t="s">
        <v>150</v>
      </c>
      <c r="E22" s="212"/>
      <c r="F22" s="213"/>
      <c r="G22" s="50">
        <v>870</v>
      </c>
      <c r="H22" s="50">
        <v>0</v>
      </c>
      <c r="I22" s="140">
        <f>SUM(A22*G22)</f>
        <v>17400</v>
      </c>
      <c r="J22" s="141"/>
      <c r="K22" s="55">
        <f t="shared" si="1"/>
        <v>0</v>
      </c>
    </row>
    <row r="23" spans="1:11" ht="47.25" customHeight="1" thickBot="1">
      <c r="A23" s="113">
        <v>0.53800000000000003</v>
      </c>
      <c r="B23" s="102"/>
      <c r="C23" s="133"/>
      <c r="D23" s="155" t="s">
        <v>204</v>
      </c>
      <c r="E23" s="156"/>
      <c r="F23" s="157"/>
      <c r="G23" s="114"/>
      <c r="H23" s="104">
        <v>55760</v>
      </c>
      <c r="I23" s="142"/>
      <c r="J23" s="143"/>
      <c r="K23" s="105">
        <f t="shared" si="1"/>
        <v>29998.880000000001</v>
      </c>
    </row>
    <row r="24" spans="1:11" ht="31.5" customHeight="1" thickBot="1">
      <c r="A24" s="110">
        <v>20</v>
      </c>
      <c r="B24" s="111" t="s">
        <v>13</v>
      </c>
      <c r="C24" s="134" t="s">
        <v>149</v>
      </c>
      <c r="D24" s="203" t="s">
        <v>154</v>
      </c>
      <c r="E24" s="204"/>
      <c r="F24" s="205"/>
      <c r="G24" s="112">
        <v>2200</v>
      </c>
      <c r="H24" s="112">
        <v>0</v>
      </c>
      <c r="I24" s="150">
        <f>SUM(A24*G24)</f>
        <v>44000</v>
      </c>
      <c r="J24" s="151"/>
      <c r="K24" s="81">
        <f t="shared" si="1"/>
        <v>0</v>
      </c>
    </row>
    <row r="25" spans="1:11" ht="45.75" customHeight="1" thickBot="1">
      <c r="A25" s="115">
        <v>1.5</v>
      </c>
      <c r="B25" s="47" t="s">
        <v>111</v>
      </c>
      <c r="C25" s="132"/>
      <c r="D25" s="158" t="s">
        <v>204</v>
      </c>
      <c r="E25" s="159"/>
      <c r="F25" s="160"/>
      <c r="G25" s="54"/>
      <c r="H25" s="50">
        <v>55760</v>
      </c>
      <c r="I25" s="146"/>
      <c r="J25" s="147"/>
      <c r="K25" s="55">
        <f t="shared" si="1"/>
        <v>83640</v>
      </c>
    </row>
    <row r="26" spans="1:11" ht="30" customHeight="1" thickBot="1">
      <c r="A26" s="56">
        <v>12</v>
      </c>
      <c r="B26" s="57" t="s">
        <v>13</v>
      </c>
      <c r="C26" s="135"/>
      <c r="D26" s="180" t="s">
        <v>156</v>
      </c>
      <c r="E26" s="181"/>
      <c r="F26" s="182"/>
      <c r="G26" s="104">
        <v>0</v>
      </c>
      <c r="H26" s="104">
        <v>0</v>
      </c>
      <c r="I26" s="140">
        <f>SUM(A26*G26)</f>
        <v>0</v>
      </c>
      <c r="J26" s="141"/>
      <c r="K26" s="105">
        <f t="shared" si="1"/>
        <v>0</v>
      </c>
    </row>
    <row r="27" spans="1:11" ht="30" customHeight="1" thickBot="1">
      <c r="A27" s="107">
        <v>0.45200000000000001</v>
      </c>
      <c r="B27" s="111" t="s">
        <v>111</v>
      </c>
      <c r="C27" s="136"/>
      <c r="D27" s="155" t="s">
        <v>204</v>
      </c>
      <c r="E27" s="156"/>
      <c r="F27" s="157"/>
      <c r="G27" s="116"/>
      <c r="H27" s="117">
        <v>55760</v>
      </c>
      <c r="I27" s="148"/>
      <c r="J27" s="149"/>
      <c r="K27" s="118">
        <f t="shared" si="1"/>
        <v>25203.52</v>
      </c>
    </row>
    <row r="28" spans="1:11" ht="30" customHeight="1" thickBot="1">
      <c r="A28" s="62">
        <v>12</v>
      </c>
      <c r="B28" s="63" t="s">
        <v>13</v>
      </c>
      <c r="C28" s="137"/>
      <c r="D28" s="152" t="s">
        <v>158</v>
      </c>
      <c r="E28" s="153"/>
      <c r="F28" s="154"/>
      <c r="G28" s="65">
        <v>1000</v>
      </c>
      <c r="H28" s="50">
        <v>0</v>
      </c>
      <c r="I28" s="140">
        <f>SUM(A28*G28)</f>
        <v>12000</v>
      </c>
      <c r="J28" s="141"/>
      <c r="K28" s="55">
        <f t="shared" si="1"/>
        <v>0</v>
      </c>
    </row>
    <row r="29" spans="1:11" ht="45" customHeight="1" thickBot="1">
      <c r="A29" s="62">
        <v>12</v>
      </c>
      <c r="B29" s="63" t="s">
        <v>13</v>
      </c>
      <c r="C29" s="137"/>
      <c r="D29" s="152" t="s">
        <v>205</v>
      </c>
      <c r="E29" s="153"/>
      <c r="F29" s="154"/>
      <c r="G29" s="65"/>
      <c r="H29" s="50">
        <v>3400</v>
      </c>
      <c r="I29" s="142"/>
      <c r="J29" s="143"/>
      <c r="K29" s="55">
        <f t="shared" si="1"/>
        <v>40800</v>
      </c>
    </row>
    <row r="30" spans="1:11" ht="31.5" customHeight="1" thickBot="1">
      <c r="A30" s="62">
        <v>2</v>
      </c>
      <c r="B30" s="63" t="s">
        <v>13</v>
      </c>
      <c r="C30" s="137" t="s">
        <v>149</v>
      </c>
      <c r="D30" s="152" t="s">
        <v>161</v>
      </c>
      <c r="E30" s="153"/>
      <c r="F30" s="154"/>
      <c r="G30" s="65">
        <v>5850</v>
      </c>
      <c r="H30" s="119">
        <v>2380</v>
      </c>
      <c r="I30" s="144">
        <f>SUM(A30*G30)</f>
        <v>11700</v>
      </c>
      <c r="J30" s="145"/>
      <c r="K30" s="55">
        <f t="shared" si="1"/>
        <v>4760</v>
      </c>
    </row>
    <row r="31" spans="1:11" ht="31.5" customHeight="1" thickBot="1">
      <c r="A31" s="82">
        <v>1</v>
      </c>
      <c r="B31" s="121" t="s">
        <v>13</v>
      </c>
      <c r="C31" s="138" t="s">
        <v>165</v>
      </c>
      <c r="D31" s="155" t="s">
        <v>206</v>
      </c>
      <c r="E31" s="156"/>
      <c r="F31" s="157"/>
      <c r="G31" s="123">
        <v>21500</v>
      </c>
      <c r="H31" s="83">
        <v>8500</v>
      </c>
      <c r="I31" s="144">
        <f>SUM(A31*G31)</f>
        <v>21500</v>
      </c>
      <c r="J31" s="145"/>
      <c r="K31" s="84">
        <f t="shared" si="1"/>
        <v>8500</v>
      </c>
    </row>
    <row r="32" spans="1:11" ht="47.25" customHeight="1" thickBot="1">
      <c r="A32" s="124">
        <v>0.1525</v>
      </c>
      <c r="B32" s="63" t="s">
        <v>111</v>
      </c>
      <c r="C32" s="137"/>
      <c r="D32" s="152" t="s">
        <v>203</v>
      </c>
      <c r="E32" s="153"/>
      <c r="F32" s="154"/>
      <c r="G32" s="65"/>
      <c r="H32" s="125">
        <v>55760</v>
      </c>
      <c r="I32" s="144"/>
      <c r="J32" s="145"/>
      <c r="K32" s="126">
        <f t="shared" si="1"/>
        <v>8503.4</v>
      </c>
    </row>
    <row r="33" spans="1:11" ht="29.25" customHeight="1" thickBot="1">
      <c r="A33" s="120">
        <v>1</v>
      </c>
      <c r="B33" s="63" t="s">
        <v>42</v>
      </c>
      <c r="C33" s="137" t="s">
        <v>170</v>
      </c>
      <c r="D33" s="165" t="s">
        <v>83</v>
      </c>
      <c r="E33" s="166"/>
      <c r="F33" s="167"/>
      <c r="G33" s="65">
        <v>3200</v>
      </c>
      <c r="H33" s="50">
        <v>0</v>
      </c>
      <c r="I33" s="146">
        <f>SUM(A33*G33)</f>
        <v>3200</v>
      </c>
      <c r="J33" s="147"/>
      <c r="K33" s="55">
        <f t="shared" si="1"/>
        <v>0</v>
      </c>
    </row>
    <row r="34" spans="1:11" ht="47.25" customHeight="1" thickBot="1">
      <c r="A34" s="62">
        <v>1</v>
      </c>
      <c r="B34" s="63" t="s">
        <v>111</v>
      </c>
      <c r="C34" s="137" t="s">
        <v>173</v>
      </c>
      <c r="D34" s="165" t="s">
        <v>174</v>
      </c>
      <c r="E34" s="166"/>
      <c r="F34" s="167"/>
      <c r="G34" s="65">
        <v>145300</v>
      </c>
      <c r="H34" s="50">
        <v>0</v>
      </c>
      <c r="I34" s="140">
        <f>SUM(A34*G34)</f>
        <v>145300</v>
      </c>
      <c r="J34" s="141"/>
      <c r="K34" s="55">
        <f t="shared" si="1"/>
        <v>0</v>
      </c>
    </row>
    <row r="35" spans="1:11" ht="16.5" thickBot="1">
      <c r="A35" s="62">
        <v>1</v>
      </c>
      <c r="B35" s="63" t="s">
        <v>42</v>
      </c>
      <c r="C35" s="139"/>
      <c r="D35" s="152" t="s">
        <v>176</v>
      </c>
      <c r="E35" s="153"/>
      <c r="F35" s="154"/>
      <c r="G35" s="65">
        <v>5000</v>
      </c>
      <c r="H35" s="50">
        <v>0</v>
      </c>
      <c r="I35" s="140">
        <f>SUM(A35*G35)</f>
        <v>5000</v>
      </c>
      <c r="J35" s="141"/>
      <c r="K35" s="55">
        <f t="shared" si="1"/>
        <v>0</v>
      </c>
    </row>
    <row r="36" spans="1:11" ht="31.5" customHeight="1" thickBot="1">
      <c r="A36" s="77">
        <v>1</v>
      </c>
      <c r="B36" s="63" t="s">
        <v>13</v>
      </c>
      <c r="C36" s="137" t="s">
        <v>178</v>
      </c>
      <c r="D36" s="165" t="s">
        <v>179</v>
      </c>
      <c r="E36" s="166"/>
      <c r="F36" s="167"/>
      <c r="G36" s="65">
        <v>11300</v>
      </c>
      <c r="H36" s="50">
        <v>0</v>
      </c>
      <c r="I36" s="140">
        <f>SUM(A36*G36)</f>
        <v>11300</v>
      </c>
      <c r="J36" s="141"/>
      <c r="K36" s="55">
        <f t="shared" si="1"/>
        <v>0</v>
      </c>
    </row>
    <row r="37" spans="1:11" ht="33.75" customHeight="1" thickBot="1">
      <c r="A37" s="77">
        <v>0.9</v>
      </c>
      <c r="B37" s="63" t="s">
        <v>111</v>
      </c>
      <c r="C37" s="137"/>
      <c r="D37" s="152" t="s">
        <v>203</v>
      </c>
      <c r="E37" s="153"/>
      <c r="F37" s="154"/>
      <c r="G37" s="65"/>
      <c r="H37" s="125">
        <v>55760</v>
      </c>
      <c r="I37" s="148"/>
      <c r="J37" s="149"/>
      <c r="K37" s="126">
        <f t="shared" si="1"/>
        <v>50184</v>
      </c>
    </row>
    <row r="38" spans="1:11" ht="16.5" thickBot="1">
      <c r="A38" s="62">
        <v>10</v>
      </c>
      <c r="B38" s="63" t="s">
        <v>13</v>
      </c>
      <c r="C38" s="137"/>
      <c r="D38" s="152" t="s">
        <v>182</v>
      </c>
      <c r="E38" s="153"/>
      <c r="F38" s="154"/>
      <c r="G38" s="68">
        <v>800</v>
      </c>
      <c r="H38" s="50">
        <v>0</v>
      </c>
      <c r="I38" s="140">
        <f>SUM(A38*G38)</f>
        <v>8000</v>
      </c>
      <c r="J38" s="141"/>
      <c r="K38" s="55">
        <f t="shared" si="1"/>
        <v>0</v>
      </c>
    </row>
    <row r="39" spans="1:11" ht="47.25" customHeight="1" thickBot="1">
      <c r="A39" s="62">
        <v>2</v>
      </c>
      <c r="B39" s="63" t="s">
        <v>111</v>
      </c>
      <c r="C39" s="137"/>
      <c r="D39" s="152" t="s">
        <v>183</v>
      </c>
      <c r="E39" s="153"/>
      <c r="F39" s="154"/>
      <c r="G39" s="65">
        <v>2400</v>
      </c>
      <c r="H39" s="50">
        <v>0</v>
      </c>
      <c r="I39" s="142">
        <f>SUM(A39*G39)</f>
        <v>4800</v>
      </c>
      <c r="J39" s="143"/>
      <c r="K39" s="55">
        <f t="shared" si="1"/>
        <v>0</v>
      </c>
    </row>
    <row r="40" spans="1:11" ht="31.5" customHeight="1" thickBot="1">
      <c r="A40" s="77">
        <v>0.315</v>
      </c>
      <c r="B40" s="63" t="s">
        <v>111</v>
      </c>
      <c r="C40" s="137"/>
      <c r="D40" s="152" t="s">
        <v>203</v>
      </c>
      <c r="E40" s="153"/>
      <c r="F40" s="154"/>
      <c r="G40" s="65"/>
      <c r="H40" s="125">
        <v>55760</v>
      </c>
      <c r="I40" s="144"/>
      <c r="J40" s="145"/>
      <c r="K40" s="126">
        <f t="shared" si="1"/>
        <v>17564.400000000001</v>
      </c>
    </row>
    <row r="41" spans="1:11" ht="16.5" thickBot="1">
      <c r="A41" s="62">
        <v>2</v>
      </c>
      <c r="B41" s="63" t="s">
        <v>111</v>
      </c>
      <c r="C41" s="139"/>
      <c r="D41" s="152" t="s">
        <v>186</v>
      </c>
      <c r="E41" s="153"/>
      <c r="F41" s="154"/>
      <c r="G41" s="71">
        <v>2400</v>
      </c>
      <c r="H41" s="50">
        <v>0</v>
      </c>
      <c r="I41" s="146">
        <f>SUM(A41*G41)</f>
        <v>4800</v>
      </c>
      <c r="J41" s="147"/>
      <c r="K41" s="55">
        <f t="shared" si="1"/>
        <v>0</v>
      </c>
    </row>
    <row r="42" spans="1:11" ht="16.5" thickBot="1">
      <c r="A42" s="46">
        <v>50</v>
      </c>
      <c r="B42" s="47" t="s">
        <v>63</v>
      </c>
      <c r="C42" s="129" t="s">
        <v>165</v>
      </c>
      <c r="D42" s="200" t="s">
        <v>187</v>
      </c>
      <c r="E42" s="201"/>
      <c r="F42" s="202"/>
      <c r="G42" s="50">
        <v>280</v>
      </c>
      <c r="H42" s="50">
        <v>0</v>
      </c>
      <c r="I42" s="140">
        <f>SUM(A42*G42)</f>
        <v>14000</v>
      </c>
      <c r="J42" s="141"/>
      <c r="K42" s="55">
        <f t="shared" si="1"/>
        <v>0</v>
      </c>
    </row>
    <row r="43" spans="1:11" ht="16.5" thickBot="1">
      <c r="A43" s="46">
        <v>1</v>
      </c>
      <c r="B43" s="47" t="s">
        <v>111</v>
      </c>
      <c r="C43" s="129" t="s">
        <v>173</v>
      </c>
      <c r="D43" s="174" t="s">
        <v>189</v>
      </c>
      <c r="E43" s="175"/>
      <c r="F43" s="176"/>
      <c r="G43" s="54">
        <v>37450</v>
      </c>
      <c r="H43" s="50">
        <v>0</v>
      </c>
      <c r="I43" s="140">
        <f>SUM(A43*G43)</f>
        <v>37450</v>
      </c>
      <c r="J43" s="141"/>
      <c r="K43" s="55">
        <f t="shared" si="1"/>
        <v>0</v>
      </c>
    </row>
    <row r="44" spans="1:11" ht="31.5" customHeight="1" thickBot="1">
      <c r="A44" s="46">
        <v>12</v>
      </c>
      <c r="B44" s="47" t="s">
        <v>13</v>
      </c>
      <c r="C44" s="129" t="s">
        <v>165</v>
      </c>
      <c r="D44" s="197" t="s">
        <v>192</v>
      </c>
      <c r="E44" s="198"/>
      <c r="F44" s="199"/>
      <c r="G44" s="72">
        <v>3700</v>
      </c>
      <c r="H44" s="50">
        <v>0</v>
      </c>
      <c r="I44" s="142">
        <f>SUM(A44*G44)</f>
        <v>44400</v>
      </c>
      <c r="J44" s="143"/>
      <c r="K44" s="55">
        <f t="shared" si="1"/>
        <v>0</v>
      </c>
    </row>
    <row r="45" spans="1:11" ht="35.25" customHeight="1" thickBot="1">
      <c r="A45" s="77">
        <v>1.6</v>
      </c>
      <c r="B45" s="63" t="s">
        <v>111</v>
      </c>
      <c r="C45" s="70"/>
      <c r="D45" s="152" t="s">
        <v>203</v>
      </c>
      <c r="E45" s="153"/>
      <c r="F45" s="154"/>
      <c r="G45" s="65"/>
      <c r="H45" s="125">
        <v>55760</v>
      </c>
      <c r="I45" s="144"/>
      <c r="J45" s="145"/>
      <c r="K45" s="126">
        <f t="shared" si="1"/>
        <v>89216</v>
      </c>
    </row>
    <row r="46" spans="1:11" ht="16.5" thickBot="1">
      <c r="A46" s="46">
        <v>1</v>
      </c>
      <c r="B46" s="47" t="s">
        <v>111</v>
      </c>
      <c r="C46" s="52"/>
      <c r="D46" s="174" t="s">
        <v>193</v>
      </c>
      <c r="E46" s="175"/>
      <c r="F46" s="176"/>
      <c r="G46" s="72">
        <v>10000</v>
      </c>
      <c r="H46" s="50">
        <v>0</v>
      </c>
      <c r="I46" s="146">
        <f>SUM(A46*G46)</f>
        <v>10000</v>
      </c>
      <c r="J46" s="147"/>
      <c r="K46" s="55">
        <f t="shared" si="1"/>
        <v>0</v>
      </c>
    </row>
    <row r="47" spans="1:11" ht="16.5" thickBot="1">
      <c r="A47" s="46">
        <v>24</v>
      </c>
      <c r="B47" s="47" t="s">
        <v>13</v>
      </c>
      <c r="C47" s="52"/>
      <c r="D47" s="174" t="s">
        <v>182</v>
      </c>
      <c r="E47" s="175"/>
      <c r="F47" s="176"/>
      <c r="G47" s="54">
        <v>800</v>
      </c>
      <c r="H47" s="50">
        <v>0</v>
      </c>
      <c r="I47" s="140">
        <f>SUM(A47*G47)</f>
        <v>19200</v>
      </c>
      <c r="J47" s="141"/>
      <c r="K47" s="55">
        <f t="shared" si="1"/>
        <v>0</v>
      </c>
    </row>
    <row r="48" spans="1:11" ht="16.5" thickBot="1">
      <c r="A48" s="46">
        <v>1</v>
      </c>
      <c r="B48" s="47" t="s">
        <v>111</v>
      </c>
      <c r="C48" s="52"/>
      <c r="D48" s="174" t="s">
        <v>194</v>
      </c>
      <c r="E48" s="175"/>
      <c r="F48" s="176"/>
      <c r="G48" s="72">
        <v>2000</v>
      </c>
      <c r="H48" s="50">
        <v>0</v>
      </c>
      <c r="I48" s="140">
        <f>SUM(A48*G48)</f>
        <v>2000</v>
      </c>
      <c r="J48" s="141"/>
      <c r="K48" s="55">
        <f t="shared" si="1"/>
        <v>0</v>
      </c>
    </row>
    <row r="49" spans="1:12" ht="16.5" thickBot="1">
      <c r="A49" s="46">
        <v>12</v>
      </c>
      <c r="B49" s="47" t="s">
        <v>13</v>
      </c>
      <c r="C49" s="52"/>
      <c r="D49" s="174" t="s">
        <v>195</v>
      </c>
      <c r="E49" s="175"/>
      <c r="F49" s="176"/>
      <c r="G49" s="54">
        <v>0</v>
      </c>
      <c r="H49" s="50">
        <v>0</v>
      </c>
      <c r="I49" s="142">
        <f>SUM(A49*G49)</f>
        <v>0</v>
      </c>
      <c r="J49" s="143"/>
      <c r="K49" s="55">
        <f t="shared" si="1"/>
        <v>0</v>
      </c>
    </row>
    <row r="50" spans="1:12" ht="33" customHeight="1" thickBot="1">
      <c r="A50" s="77">
        <v>0.80900000000000005</v>
      </c>
      <c r="B50" s="63" t="s">
        <v>111</v>
      </c>
      <c r="C50" s="70"/>
      <c r="D50" s="152" t="s">
        <v>203</v>
      </c>
      <c r="E50" s="153"/>
      <c r="F50" s="154"/>
      <c r="G50" s="65"/>
      <c r="H50" s="125">
        <v>55760</v>
      </c>
      <c r="I50" s="144"/>
      <c r="J50" s="145"/>
      <c r="K50" s="126">
        <f t="shared" si="1"/>
        <v>45109.840000000004</v>
      </c>
    </row>
    <row r="51" spans="1:12" ht="16.5" thickBot="1">
      <c r="A51" s="46">
        <v>1</v>
      </c>
      <c r="B51" s="47" t="s">
        <v>111</v>
      </c>
      <c r="C51" s="52"/>
      <c r="D51" s="174" t="s">
        <v>110</v>
      </c>
      <c r="E51" s="175"/>
      <c r="F51" s="176"/>
      <c r="G51" s="54">
        <v>0</v>
      </c>
      <c r="H51" s="50">
        <v>0</v>
      </c>
      <c r="I51" s="146">
        <f>SUM(A51*G51)</f>
        <v>0</v>
      </c>
      <c r="J51" s="147"/>
      <c r="K51" s="55">
        <f t="shared" si="1"/>
        <v>0</v>
      </c>
    </row>
    <row r="52" spans="1:12" ht="16.5" thickBot="1">
      <c r="A52" s="56">
        <v>1</v>
      </c>
      <c r="B52" s="57" t="s">
        <v>111</v>
      </c>
      <c r="C52" s="58"/>
      <c r="D52" s="168" t="s">
        <v>197</v>
      </c>
      <c r="E52" s="169"/>
      <c r="F52" s="170"/>
      <c r="G52" s="60">
        <v>0</v>
      </c>
      <c r="H52" s="50">
        <v>0</v>
      </c>
      <c r="I52" s="140">
        <f>SUM(A52*G52)</f>
        <v>0</v>
      </c>
      <c r="J52" s="141"/>
      <c r="K52" s="55">
        <f t="shared" si="1"/>
        <v>0</v>
      </c>
    </row>
    <row r="53" spans="1:12" ht="16.5" thickBot="1">
      <c r="A53" s="120">
        <v>1</v>
      </c>
      <c r="B53" s="121"/>
      <c r="C53" s="122"/>
      <c r="D53" s="171" t="s">
        <v>199</v>
      </c>
      <c r="E53" s="172"/>
      <c r="F53" s="173"/>
      <c r="G53" s="127">
        <v>13775</v>
      </c>
      <c r="H53" s="104">
        <v>0</v>
      </c>
      <c r="I53" s="142">
        <f>SUM(A53*G53)</f>
        <v>13775</v>
      </c>
      <c r="J53" s="143"/>
      <c r="K53" s="105">
        <f t="shared" si="1"/>
        <v>0</v>
      </c>
      <c r="L53" s="108"/>
    </row>
    <row r="54" spans="1:12" ht="16.5" thickBot="1">
      <c r="A54" s="77">
        <v>0.89100000000000001</v>
      </c>
      <c r="B54" s="63" t="s">
        <v>111</v>
      </c>
      <c r="C54" s="70"/>
      <c r="D54" s="152" t="s">
        <v>203</v>
      </c>
      <c r="E54" s="153"/>
      <c r="F54" s="154"/>
      <c r="G54" s="65"/>
      <c r="H54" s="125">
        <v>55760</v>
      </c>
      <c r="I54" s="144"/>
      <c r="J54" s="145"/>
      <c r="K54" s="126">
        <f t="shared" si="1"/>
        <v>49682.16</v>
      </c>
      <c r="L54" s="108"/>
    </row>
    <row r="55" spans="1:12" ht="16.5" thickBot="1">
      <c r="A55" s="56"/>
      <c r="B55" s="57"/>
      <c r="C55" s="58"/>
      <c r="D55" s="180"/>
      <c r="E55" s="181"/>
      <c r="F55" s="182"/>
      <c r="G55" s="75"/>
      <c r="H55" s="75"/>
      <c r="I55" s="183">
        <f>SUM(I8:J54)</f>
        <v>576700</v>
      </c>
      <c r="J55" s="184"/>
      <c r="K55" s="76">
        <f>SUM(K8:K54)</f>
        <v>632780.02</v>
      </c>
      <c r="L55" s="109"/>
    </row>
    <row r="56" spans="1:12" ht="16.5" thickBot="1">
      <c r="A56" s="77"/>
      <c r="B56" s="78"/>
      <c r="C56" s="64"/>
      <c r="D56" s="185" t="s">
        <v>200</v>
      </c>
      <c r="E56" s="186"/>
      <c r="F56" s="187"/>
      <c r="G56" s="79"/>
      <c r="H56" s="79"/>
      <c r="I56" s="188">
        <f>SUM(I55:K55)</f>
        <v>1209480.02</v>
      </c>
      <c r="J56" s="189"/>
      <c r="K56" s="190"/>
      <c r="L56" s="109"/>
    </row>
    <row r="57" spans="1:12" ht="16.5" thickBot="1">
      <c r="A57" s="46"/>
      <c r="B57" s="47"/>
      <c r="C57" s="52"/>
      <c r="D57" s="191" t="s">
        <v>201</v>
      </c>
      <c r="E57" s="192"/>
      <c r="F57" s="193"/>
      <c r="G57" s="80"/>
      <c r="H57" s="80"/>
      <c r="I57" s="194">
        <f>SUM(I56*27%)</f>
        <v>326559.6054</v>
      </c>
      <c r="J57" s="195"/>
      <c r="K57" s="196"/>
    </row>
    <row r="58" spans="1:12" ht="16.5" thickBot="1">
      <c r="A58" s="46"/>
      <c r="B58" s="47"/>
      <c r="C58" s="52"/>
      <c r="D58" s="174" t="s">
        <v>202</v>
      </c>
      <c r="E58" s="175"/>
      <c r="F58" s="176"/>
      <c r="G58" s="80"/>
      <c r="H58" s="80"/>
      <c r="I58" s="177">
        <f>SUM(I56:K57)</f>
        <v>1536039.6254</v>
      </c>
      <c r="J58" s="178"/>
      <c r="K58" s="179"/>
    </row>
    <row r="61" spans="1:12">
      <c r="J61" s="128"/>
      <c r="K61" s="128"/>
    </row>
  </sheetData>
  <mergeCells count="117">
    <mergeCell ref="D10:F10"/>
    <mergeCell ref="D11:F11"/>
    <mergeCell ref="D13:F13"/>
    <mergeCell ref="D8:F8"/>
    <mergeCell ref="I8:J8"/>
    <mergeCell ref="A1:K1"/>
    <mergeCell ref="A2:K2"/>
    <mergeCell ref="A3:K3"/>
    <mergeCell ref="C5:D5"/>
    <mergeCell ref="F5:G5"/>
    <mergeCell ref="J5:K5"/>
    <mergeCell ref="C6:K6"/>
    <mergeCell ref="C7:K7"/>
    <mergeCell ref="I4:J4"/>
    <mergeCell ref="K15:K16"/>
    <mergeCell ref="D18:F18"/>
    <mergeCell ref="I18:J18"/>
    <mergeCell ref="D22:F22"/>
    <mergeCell ref="I22:J22"/>
    <mergeCell ref="I21:J21"/>
    <mergeCell ref="D20:F20"/>
    <mergeCell ref="I20:J20"/>
    <mergeCell ref="A15:A16"/>
    <mergeCell ref="B15:B16"/>
    <mergeCell ref="C15:C16"/>
    <mergeCell ref="D15:F15"/>
    <mergeCell ref="D16:F16"/>
    <mergeCell ref="G15:G16"/>
    <mergeCell ref="H15:H16"/>
    <mergeCell ref="I15:J16"/>
    <mergeCell ref="D32:F32"/>
    <mergeCell ref="I32:J32"/>
    <mergeCell ref="I34:J34"/>
    <mergeCell ref="D34:F34"/>
    <mergeCell ref="D28:F28"/>
    <mergeCell ref="D30:F30"/>
    <mergeCell ref="D29:F29"/>
    <mergeCell ref="D24:F24"/>
    <mergeCell ref="D26:F26"/>
    <mergeCell ref="D31:F31"/>
    <mergeCell ref="D51:F51"/>
    <mergeCell ref="D44:F44"/>
    <mergeCell ref="D46:F46"/>
    <mergeCell ref="D47:F47"/>
    <mergeCell ref="D41:F41"/>
    <mergeCell ref="D42:F42"/>
    <mergeCell ref="D43:F43"/>
    <mergeCell ref="D36:F36"/>
    <mergeCell ref="D38:F38"/>
    <mergeCell ref="D39:F39"/>
    <mergeCell ref="D37:F37"/>
    <mergeCell ref="D52:F52"/>
    <mergeCell ref="I52:J52"/>
    <mergeCell ref="D53:F53"/>
    <mergeCell ref="I53:J53"/>
    <mergeCell ref="D58:F58"/>
    <mergeCell ref="I58:K58"/>
    <mergeCell ref="D55:F55"/>
    <mergeCell ref="I55:J55"/>
    <mergeCell ref="D56:F56"/>
    <mergeCell ref="I56:K56"/>
    <mergeCell ref="D57:F57"/>
    <mergeCell ref="I57:K57"/>
    <mergeCell ref="D54:F54"/>
    <mergeCell ref="I54:J54"/>
    <mergeCell ref="D40:F40"/>
    <mergeCell ref="D45:F45"/>
    <mergeCell ref="D50:F50"/>
    <mergeCell ref="D23:F23"/>
    <mergeCell ref="D25:F25"/>
    <mergeCell ref="D27:F27"/>
    <mergeCell ref="D4:F4"/>
    <mergeCell ref="D9:F9"/>
    <mergeCell ref="I9:J9"/>
    <mergeCell ref="D12:F12"/>
    <mergeCell ref="I12:J12"/>
    <mergeCell ref="D14:F14"/>
    <mergeCell ref="I14:J14"/>
    <mergeCell ref="D17:F17"/>
    <mergeCell ref="I17:J17"/>
    <mergeCell ref="D19:F19"/>
    <mergeCell ref="I19:J19"/>
    <mergeCell ref="D21:F21"/>
    <mergeCell ref="D48:F48"/>
    <mergeCell ref="D49:F49"/>
    <mergeCell ref="D33:F33"/>
    <mergeCell ref="I33:J33"/>
    <mergeCell ref="D35:F35"/>
    <mergeCell ref="I35:J35"/>
    <mergeCell ref="I51:J51"/>
    <mergeCell ref="I49:J49"/>
    <mergeCell ref="I48:J48"/>
    <mergeCell ref="I37:J37"/>
    <mergeCell ref="I39:J39"/>
    <mergeCell ref="I38:J38"/>
    <mergeCell ref="I36:J36"/>
    <mergeCell ref="I43:J43"/>
    <mergeCell ref="I42:J42"/>
    <mergeCell ref="I41:J41"/>
    <mergeCell ref="I11:J11"/>
    <mergeCell ref="I10:J10"/>
    <mergeCell ref="I23:J23"/>
    <mergeCell ref="I50:J50"/>
    <mergeCell ref="I45:J45"/>
    <mergeCell ref="I40:J40"/>
    <mergeCell ref="I13:J13"/>
    <mergeCell ref="I47:J47"/>
    <mergeCell ref="I46:J46"/>
    <mergeCell ref="I44:J44"/>
    <mergeCell ref="I26:J26"/>
    <mergeCell ref="I24:J24"/>
    <mergeCell ref="I29:J29"/>
    <mergeCell ref="I31:J31"/>
    <mergeCell ref="I30:J30"/>
    <mergeCell ref="I28:J28"/>
    <mergeCell ref="I27:J27"/>
    <mergeCell ref="I25:J25"/>
  </mergeCells>
  <pageMargins left="0.11811023622047245" right="0.11811023622047245" top="0.74803149606299213" bottom="0.74803149606299213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Mónus József</dc:creator>
  <cp:lastModifiedBy>József Mónus</cp:lastModifiedBy>
  <cp:lastPrinted>2026-02-04T17:51:31Z</cp:lastPrinted>
  <dcterms:created xsi:type="dcterms:W3CDTF">2026-01-21T09:24:54Z</dcterms:created>
  <dcterms:modified xsi:type="dcterms:W3CDTF">2026-04-23T14:42:05Z</dcterms:modified>
</cp:coreProperties>
</file>